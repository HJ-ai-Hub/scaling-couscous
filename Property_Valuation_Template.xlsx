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" sheetId="2" state="visible" r:id="rId2"/>
    <sheet name="Inputs" sheetId="3" state="visible" r:id="rId3"/>
    <sheet name="Income Schedule" sheetId="4" state="visible" r:id="rId4"/>
    <sheet name="Valuation" sheetId="5" state="visible" r:id="rId5"/>
    <sheet name="DCF" sheetId="6" state="visible" r:id="rId6"/>
    <sheet name="Net Proceeds" sheetId="7" state="visible" r:id="rId7"/>
    <sheet name="Returns" sheetId="8" state="visible" r:id="rId8"/>
  </sheets>
  <definedNames>
    <definedName name="_xlnm.Print_Area" localSheetId="0">'Summary'!$A$1:$D$20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 &quot;AED&quot;"/>
    <numFmt numFmtId="165" formatCode="0.0%"/>
    <numFmt numFmtId="166" formatCode="#,##0 &quot;AED/sqft&quot;"/>
    <numFmt numFmtId="167" formatCode="+#,##0 &quot;AED&quot;;-#,##0 &quot;AED&quot;"/>
    <numFmt numFmtId="168" formatCode="0.000"/>
    <numFmt numFmtId="169" formatCode="0.0"/>
    <numFmt numFmtId="170" formatCode="+#,##0;-#,##0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1"/>
    </font>
    <font>
      <b val="1"/>
    </font>
    <font>
      <i val="1"/>
      <color rgb="00808080"/>
      <sz val="9"/>
    </font>
    <font>
      <i val="1"/>
      <color rgb="00808080"/>
      <sz val="10"/>
    </font>
    <font>
      <b val="1"/>
      <color rgb="00FFFFFF"/>
      <sz val="12"/>
    </font>
    <font>
      <i val="1"/>
      <color rgb="001F3864"/>
      <sz val="10"/>
    </font>
    <font>
      <b val="1"/>
      <color rgb="00548235"/>
      <sz val="11"/>
    </font>
    <font>
      <b val="1"/>
      <color rgb="001F3864"/>
    </font>
    <font>
      <b val="1"/>
      <color rgb="00548235"/>
      <sz val="12"/>
    </font>
    <font>
      <b val="1"/>
      <sz val="12"/>
    </font>
    <font>
      <color rgb="00A6A6A6"/>
    </font>
    <font>
      <b val="1"/>
      <color rgb="001F3864"/>
      <sz val="11"/>
    </font>
    <font>
      <b val="1"/>
      <color rgb="00FFFFFF"/>
      <sz val="16"/>
    </font>
    <font>
      <i val="1"/>
      <color rgb="00FFFFFF"/>
      <sz val="11"/>
    </font>
    <font>
      <b val="1"/>
      <sz val="11"/>
    </font>
    <font>
      <sz val="10"/>
    </font>
    <font>
      <b val="1"/>
      <color rgb="00FFFFFF"/>
      <sz val="10"/>
    </font>
    <font>
      <b val="1"/>
      <color rgb="00FFFFFF"/>
    </font>
    <font>
      <b val="1"/>
      <color rgb="001F3864"/>
      <sz val="10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86">
    <xf numFmtId="0" fontId="0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17" fillId="0" borderId="0" pivotButton="0" quotePrefix="0" xfId="0"/>
    <xf numFmtId="164" fontId="17" fillId="8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3" fontId="17" fillId="8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165" fontId="17" fillId="6" borderId="1" applyAlignment="1" pivotButton="0" quotePrefix="0" xfId="0">
      <alignment horizontal="right" vertical="center"/>
    </xf>
    <xf numFmtId="0" fontId="11" fillId="0" borderId="0" pivotButton="0" quotePrefix="0" xfId="0"/>
    <xf numFmtId="164" fontId="12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0" borderId="0" pivotButton="0" quotePrefix="0" xfId="0"/>
    <xf numFmtId="49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right" vertical="center"/>
    </xf>
    <xf numFmtId="0" fontId="5" fillId="7" borderId="0" pivotButton="0" quotePrefix="0" xfId="0"/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right" vertical="center"/>
    </xf>
    <xf numFmtId="0" fontId="0" fillId="8" borderId="0" pivotButton="0" quotePrefix="0" xfId="0"/>
    <xf numFmtId="0" fontId="0" fillId="7" borderId="0" pivotButton="0" quotePrefix="0" xfId="0"/>
    <xf numFmtId="0" fontId="0" fillId="0" borderId="2" pivotButton="0" quotePrefix="0" xfId="0"/>
    <xf numFmtId="0" fontId="4" fillId="0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8" fillId="0" borderId="0" pivotButton="0" quotePrefix="0" xfId="0"/>
    <xf numFmtId="165" fontId="0" fillId="7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center" vertical="center"/>
    </xf>
    <xf numFmtId="167" fontId="0" fillId="8" borderId="1" applyAlignment="1" pivotButton="0" quotePrefix="0" xfId="0">
      <alignment horizontal="right" vertical="center"/>
    </xf>
    <xf numFmtId="0" fontId="9" fillId="0" borderId="0" pivotButton="0" quotePrefix="0" xfId="0"/>
    <xf numFmtId="164" fontId="4" fillId="6" borderId="1" applyAlignment="1" pivotButton="0" quotePrefix="0" xfId="0">
      <alignment horizontal="right" vertical="center"/>
    </xf>
    <xf numFmtId="168" fontId="0" fillId="7" borderId="1" applyAlignment="1" pivotButton="0" quotePrefix="0" xfId="0">
      <alignment horizontal="center" vertical="center"/>
    </xf>
    <xf numFmtId="168" fontId="0" fillId="8" borderId="1" applyAlignment="1" pivotButton="0" quotePrefix="0" xfId="0">
      <alignment horizontal="center" vertical="center"/>
    </xf>
    <xf numFmtId="0" fontId="10" fillId="0" borderId="0" pivotButton="0" quotePrefix="0" xfId="0"/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13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169" fontId="0" fillId="4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12" fillId="0" borderId="0" pivotButton="0" quotePrefix="0" xfId="0"/>
    <xf numFmtId="165" fontId="4" fillId="7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 wrapText="1"/>
    </xf>
    <xf numFmtId="0" fontId="19" fillId="9" borderId="0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right" vertical="center"/>
    </xf>
    <xf numFmtId="170" fontId="4" fillId="7" borderId="1" applyAlignment="1" pivotButton="0" quotePrefix="0" xfId="0">
      <alignment horizontal="right" vertical="center"/>
    </xf>
    <xf numFmtId="165" fontId="0" fillId="8" borderId="1" applyAlignment="1" pivotButton="0" quotePrefix="0" xfId="0">
      <alignment horizontal="right" vertical="center"/>
    </xf>
    <xf numFmtId="170" fontId="4" fillId="8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 wrapText="1"/>
    </xf>
    <xf numFmtId="3" fontId="20" fillId="2" borderId="1" applyAlignment="1" pivotButton="0" quotePrefix="0" xfId="0">
      <alignment horizontal="right" vertical="center"/>
    </xf>
    <xf numFmtId="164" fontId="20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right" vertical="center"/>
    </xf>
    <xf numFmtId="165" fontId="20" fillId="2" borderId="1" applyAlignment="1" pivotButton="0" quotePrefix="0" xfId="0">
      <alignment horizontal="right" vertical="center"/>
    </xf>
    <xf numFmtId="170" fontId="20" fillId="2" borderId="1" applyAlignment="1" pivotButton="0" quotePrefix="0" xfId="0">
      <alignment horizontal="right" vertical="center"/>
    </xf>
    <xf numFmtId="0" fontId="21" fillId="0" borderId="0" pivotButton="0" quotePrefix="0" xfId="0"/>
    <xf numFmtId="164" fontId="22" fillId="6" borderId="1" applyAlignment="1" pivotButton="0" quotePrefix="0" xfId="0">
      <alignment horizontal="center" vertical="center" wrapText="1"/>
    </xf>
    <xf numFmtId="164" fontId="22" fillId="5" borderId="1" applyAlignment="1" pivotButton="0" quotePrefix="0" xfId="0">
      <alignment horizontal="center" vertical="center" wrapText="1"/>
    </xf>
    <xf numFmtId="167" fontId="22" fillId="6" borderId="1" applyAlignment="1" pivotButton="0" quotePrefix="0" xfId="0">
      <alignment horizontal="center" vertical="center" wrapText="1"/>
    </xf>
    <xf numFmtId="165" fontId="22" fillId="6" borderId="1" applyAlignment="1" pivotButton="0" quotePrefix="0" xfId="0">
      <alignment horizontal="center" vertical="center" wrapText="1"/>
    </xf>
    <xf numFmtId="165" fontId="2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" customWidth="1" min="3" max="3"/>
    <col width="40" customWidth="1" min="4" max="4"/>
  </cols>
  <sheetData>
    <row r="1" ht="30" customHeight="1">
      <c r="A1" s="1" t="inlineStr">
        <is>
          <t>PROPERTY VALUATION — SUMMARY</t>
        </is>
      </c>
    </row>
    <row r="2">
      <c r="A2" s="2">
        <f>Inputs!B5&amp;"  ·  "&amp;Inputs!B6&amp;"  ·  "&amp;Inputs!B7</f>
        <v/>
      </c>
    </row>
    <row r="4">
      <c r="A4" s="3" t="inlineStr">
        <is>
          <t>THE PROPERTY</t>
        </is>
      </c>
      <c r="D4" s="3" t="inlineStr">
        <is>
          <t>HOW TO USE</t>
        </is>
      </c>
    </row>
    <row r="5">
      <c r="A5" s="4" t="inlineStr">
        <is>
          <t>Your cost / total invested</t>
        </is>
      </c>
      <c r="B5" s="5">
        <f>Inputs!B14</f>
        <v/>
      </c>
      <c r="D5" s="6" t="inlineStr">
        <is>
          <t>1. Go to the INPUTS tab and edit the gold cells for your property.</t>
        </is>
      </c>
    </row>
    <row r="6">
      <c r="A6" s="4" t="inlineStr">
        <is>
          <t>Built-up area (sqft)</t>
        </is>
      </c>
      <c r="B6" s="7">
        <f>Inputs!B8</f>
        <v/>
      </c>
    </row>
    <row r="7">
      <c r="A7" s="4" t="inlineStr">
        <is>
          <t>Passing rent (if tenanted)</t>
        </is>
      </c>
      <c r="B7" s="5">
        <f>Inputs!B38</f>
        <v/>
      </c>
      <c r="D7" s="6" t="inlineStr">
        <is>
          <t>2. Set 'Tenanted?' to Yes for rented units, No for vacant/owner-occupier.</t>
        </is>
      </c>
    </row>
    <row r="8">
      <c r="A8" s="4" t="inlineStr">
        <is>
          <t>NOI</t>
        </is>
      </c>
      <c r="B8" s="8">
        <f>Inputs!B39</f>
        <v/>
      </c>
    </row>
    <row r="9">
      <c r="A9" s="4" t="inlineStr">
        <is>
          <t>Net yield on cost</t>
        </is>
      </c>
      <c r="B9" s="9">
        <f>Inputs!B40</f>
        <v/>
      </c>
      <c r="D9" s="6" t="inlineStr">
        <is>
          <t>3. Tenanted → read the Income / DCF value. Vacant → read the Comparable value.</t>
        </is>
      </c>
    </row>
    <row r="10"/>
    <row r="11">
      <c r="A11" s="3" t="inlineStr">
        <is>
          <t>WHAT IT'S WORTH</t>
        </is>
      </c>
      <c r="D11" s="6" t="inlineStr">
        <is>
          <t>4. Net Proceeds shows your take-home after costs; Returns solves for a target price.</t>
        </is>
      </c>
    </row>
    <row r="12">
      <c r="A12" s="4" t="inlineStr">
        <is>
          <t>Income – headline @ target yield</t>
        </is>
      </c>
      <c r="B12" s="5">
        <f>Valuation!B15</f>
        <v/>
      </c>
    </row>
    <row r="13">
      <c r="A13" s="4" t="inlineStr">
        <is>
          <t>Comparable (area × psf)</t>
        </is>
      </c>
      <c r="B13" s="5">
        <f>Valuation!B16</f>
        <v/>
      </c>
      <c r="D13" s="6" t="inlineStr">
        <is>
          <t>5. Everything on every tab recalculates from Inputs automatically.</t>
        </is>
      </c>
    </row>
    <row r="14">
      <c r="A14" s="4" t="inlineStr">
        <is>
          <t>DCF</t>
        </is>
      </c>
      <c r="B14" s="8">
        <f>DCF!B24</f>
        <v/>
      </c>
    </row>
    <row r="16">
      <c r="A16" s="10" t="inlineStr">
        <is>
          <t>INDICATIVE VALUE</t>
        </is>
      </c>
      <c r="B16" s="11">
        <f>IF(Inputs!B38=0,Inputs!B27,Inputs!B39/Inputs!B33)</f>
        <v/>
      </c>
      <c r="D16" s="3" t="inlineStr">
        <is>
          <t>TIP</t>
        </is>
      </c>
    </row>
    <row r="17">
      <c r="A17" s="12" t="inlineStr">
        <is>
          <t>(income basis if tenanted, else comparable)</t>
        </is>
      </c>
      <c r="D17" s="6" t="inlineStr">
        <is>
          <t>For tenanted property the buyer pays for the income stream, so a low purchase yield vs the market means upside. For vacant property, price per sqft from recent comparable sales rules.</t>
        </is>
      </c>
    </row>
    <row r="18"/>
    <row r="19">
      <c r="A19" s="12" t="inlineStr">
        <is>
          <t>Estimates only — commission a RICS valuation before transacting. DLD 4% normally buyer-paid.</t>
        </is>
      </c>
    </row>
  </sheetData>
  <mergeCells count="13">
    <mergeCell ref="A4:B4"/>
    <mergeCell ref="A1:D1"/>
    <mergeCell ref="D4"/>
    <mergeCell ref="D9:D10"/>
    <mergeCell ref="A19:B19"/>
    <mergeCell ref="A11:B11"/>
    <mergeCell ref="D13:D14"/>
    <mergeCell ref="D7:D8"/>
    <mergeCell ref="D16"/>
    <mergeCell ref="D11:D12"/>
    <mergeCell ref="A2:D2"/>
    <mergeCell ref="D17:D19"/>
    <mergeCell ref="D5:D6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9" customWidth="1" min="4" max="4"/>
    <col width="15" customWidth="1" min="5" max="5"/>
    <col width="13" customWidth="1" min="6" max="6"/>
    <col width="8" customWidth="1" min="7" max="7"/>
    <col width="7" customWidth="1" min="8" max="8"/>
    <col width="7" customWidth="1" min="9" max="9"/>
    <col width="13" customWidth="1" min="10" max="10"/>
    <col width="11" customWidth="1" min="11" max="11"/>
    <col width="9" customWidth="1" min="12" max="12"/>
    <col width="13" customWidth="1" min="13" max="13"/>
    <col width="13" customWidth="1" min="14" max="14"/>
    <col width="8" customWidth="1" min="15" max="15"/>
    <col width="14" customWidth="1" min="16" max="16"/>
    <col width="14" customWidth="1" min="17" max="17"/>
    <col width="15" customWidth="1" min="18" max="18"/>
    <col width="15" customWidth="1" min="19" max="19"/>
  </cols>
  <sheetData>
    <row r="1" ht="26" customHeight="1">
      <c r="A1" s="13" t="inlineStr">
        <is>
          <t>PORTFOLIO ROLL-UP  —  one row per property</t>
        </is>
      </c>
    </row>
    <row r="2" ht="24" customHeight="1">
      <c r="A2" s="61" t="inlineStr">
        <is>
          <t>Standalone tab (does NOT depend on the Inputs tab). Fill the GOLD input columns for each property; values &amp; totals auto-calculate. Tenanted → income value; Vacant → comparable (area × psf).</t>
        </is>
      </c>
    </row>
    <row r="3">
      <c r="A3" s="62" t="inlineStr">
        <is>
          <t>INPUTS  (edit these)</t>
        </is>
      </c>
      <c r="M3" s="63" t="inlineStr">
        <is>
          <t>AUTO-CALCULATED</t>
        </is>
      </c>
    </row>
    <row r="4" ht="30" customHeight="1">
      <c r="A4" s="64" t="inlineStr">
        <is>
          <t>Property</t>
        </is>
      </c>
      <c r="B4" s="64" t="inlineStr">
        <is>
          <t>Type</t>
        </is>
      </c>
      <c r="C4" s="64" t="inlineStr">
        <is>
          <t>Tenanted?</t>
        </is>
      </c>
      <c r="D4" s="64" t="inlineStr">
        <is>
          <t>Area sqft</t>
        </is>
      </c>
      <c r="E4" s="64" t="inlineStr">
        <is>
          <t>Cost (AED)</t>
        </is>
      </c>
      <c r="F4" s="64" t="inlineStr">
        <is>
          <t>Yr-1 Rent</t>
        </is>
      </c>
      <c r="G4" s="64" t="inlineStr">
        <is>
          <t>Esc %</t>
        </is>
      </c>
      <c r="H4" s="64" t="inlineStr">
        <is>
          <t>Cur Yr</t>
        </is>
      </c>
      <c r="I4" s="64" t="inlineStr">
        <is>
          <t>Term</t>
        </is>
      </c>
      <c r="J4" s="64" t="inlineStr">
        <is>
          <t>Ann. Service Chg</t>
        </is>
      </c>
      <c r="K4" s="64" t="inlineStr">
        <is>
          <t>AED/sqft</t>
        </is>
      </c>
      <c r="L4" s="64" t="inlineStr">
        <is>
          <t>Target Yld</t>
        </is>
      </c>
      <c r="M4" s="65" t="inlineStr">
        <is>
          <t>Passing Rent</t>
        </is>
      </c>
      <c r="N4" s="65" t="inlineStr">
        <is>
          <t>NOI</t>
        </is>
      </c>
      <c r="O4" s="65" t="inlineStr">
        <is>
          <t>Net Yld</t>
        </is>
      </c>
      <c r="P4" s="65" t="inlineStr">
        <is>
          <t>Income Value</t>
        </is>
      </c>
      <c r="Q4" s="65" t="inlineStr">
        <is>
          <t>Comparable</t>
        </is>
      </c>
      <c r="R4" s="65" t="inlineStr">
        <is>
          <t>Indicative Value</t>
        </is>
      </c>
      <c r="S4" s="65" t="inlineStr">
        <is>
          <t>Gain vs Cost</t>
        </is>
      </c>
    </row>
    <row r="5">
      <c r="A5" s="66" t="inlineStr">
        <is>
          <t>Office – Business Bay</t>
        </is>
      </c>
      <c r="B5" s="66" t="inlineStr">
        <is>
          <t>Office</t>
        </is>
      </c>
      <c r="C5" s="66" t="inlineStr">
        <is>
          <t>Yes</t>
        </is>
      </c>
      <c r="D5" s="18" t="n">
        <v>1200</v>
      </c>
      <c r="E5" s="19" t="n">
        <v>4550000</v>
      </c>
      <c r="F5" s="19" t="n">
        <v>465992</v>
      </c>
      <c r="G5" s="67" t="n">
        <v>0.05</v>
      </c>
      <c r="H5" s="68" t="n">
        <v>2</v>
      </c>
      <c r="I5" s="68" t="n">
        <v>5</v>
      </c>
      <c r="J5" s="19" t="n">
        <v>40000</v>
      </c>
      <c r="K5" s="18" t="n">
        <v>4200</v>
      </c>
      <c r="L5" s="67" t="n">
        <v>0.08</v>
      </c>
      <c r="M5" s="28">
        <f>IF(C5="Yes",F5*(1+G5)^(H5-1),0)</f>
        <v/>
      </c>
      <c r="N5" s="28">
        <f>IF(M5=0,0,M5-J5)</f>
        <v/>
      </c>
      <c r="O5" s="69">
        <f>IF(E5&gt;0,N5/E5,0)</f>
        <v/>
      </c>
      <c r="P5" s="28">
        <f>IF(M5=0,"",N5/L5)</f>
        <v/>
      </c>
      <c r="Q5" s="28">
        <f>IF(N(D5)*N(K5)=0,"",D5*K5)</f>
        <v/>
      </c>
      <c r="R5" s="51">
        <f>IF(M5&gt;0,N5/L5,IF(N(D5)*N(K5)=0,0,D5*K5))</f>
        <v/>
      </c>
      <c r="S5" s="70">
        <f>IF(R5=0,"",R5-E5)</f>
        <v/>
      </c>
    </row>
    <row r="6">
      <c r="A6" s="66" t="n"/>
      <c r="B6" s="66" t="n"/>
      <c r="C6" s="66" t="n"/>
      <c r="D6" s="18" t="n"/>
      <c r="E6" s="19" t="n"/>
      <c r="F6" s="19" t="n"/>
      <c r="G6" s="67" t="n"/>
      <c r="H6" s="68" t="n"/>
      <c r="I6" s="68" t="n"/>
      <c r="J6" s="19" t="n"/>
      <c r="K6" s="18" t="n"/>
      <c r="L6" s="67" t="n"/>
      <c r="M6" s="31">
        <f>IF(C6="Yes",F6*(1+G6)^(H6-1),0)</f>
        <v/>
      </c>
      <c r="N6" s="31">
        <f>IF(M6=0,0,M6-J6)</f>
        <v/>
      </c>
      <c r="O6" s="71">
        <f>IF(E6&gt;0,N6/E6,0)</f>
        <v/>
      </c>
      <c r="P6" s="31">
        <f>IF(M6=0,"",N6/L6)</f>
        <v/>
      </c>
      <c r="Q6" s="31">
        <f>IF(N(D6)*N(K6)=0,"",D6*K6)</f>
        <v/>
      </c>
      <c r="R6" s="54">
        <f>IF(M6&gt;0,N6/L6,IF(N(D6)*N(K6)=0,0,D6*K6))</f>
        <v/>
      </c>
      <c r="S6" s="72">
        <f>IF(R6=0,"",R6-E6)</f>
        <v/>
      </c>
    </row>
    <row r="7">
      <c r="A7" s="66" t="n"/>
      <c r="B7" s="66" t="n"/>
      <c r="C7" s="66" t="n"/>
      <c r="D7" s="18" t="n"/>
      <c r="E7" s="19" t="n"/>
      <c r="F7" s="19" t="n"/>
      <c r="G7" s="67" t="n"/>
      <c r="H7" s="68" t="n"/>
      <c r="I7" s="68" t="n"/>
      <c r="J7" s="19" t="n"/>
      <c r="K7" s="18" t="n"/>
      <c r="L7" s="67" t="n"/>
      <c r="M7" s="28">
        <f>IF(C7="Yes",F7*(1+G7)^(H7-1),0)</f>
        <v/>
      </c>
      <c r="N7" s="28">
        <f>IF(M7=0,0,M7-J7)</f>
        <v/>
      </c>
      <c r="O7" s="69">
        <f>IF(E7&gt;0,N7/E7,0)</f>
        <v/>
      </c>
      <c r="P7" s="28">
        <f>IF(M7=0,"",N7/L7)</f>
        <v/>
      </c>
      <c r="Q7" s="28">
        <f>IF(N(D7)*N(K7)=0,"",D7*K7)</f>
        <v/>
      </c>
      <c r="R7" s="51">
        <f>IF(M7&gt;0,N7/L7,IF(N(D7)*N(K7)=0,0,D7*K7))</f>
        <v/>
      </c>
      <c r="S7" s="70">
        <f>IF(R7=0,"",R7-E7)</f>
        <v/>
      </c>
    </row>
    <row r="8">
      <c r="A8" s="66" t="n"/>
      <c r="B8" s="66" t="n"/>
      <c r="C8" s="66" t="n"/>
      <c r="D8" s="18" t="n"/>
      <c r="E8" s="19" t="n"/>
      <c r="F8" s="19" t="n"/>
      <c r="G8" s="67" t="n"/>
      <c r="H8" s="68" t="n"/>
      <c r="I8" s="68" t="n"/>
      <c r="J8" s="19" t="n"/>
      <c r="K8" s="18" t="n"/>
      <c r="L8" s="67" t="n"/>
      <c r="M8" s="31">
        <f>IF(C8="Yes",F8*(1+G8)^(H8-1),0)</f>
        <v/>
      </c>
      <c r="N8" s="31">
        <f>IF(M8=0,0,M8-J8)</f>
        <v/>
      </c>
      <c r="O8" s="71">
        <f>IF(E8&gt;0,N8/E8,0)</f>
        <v/>
      </c>
      <c r="P8" s="31">
        <f>IF(M8=0,"",N8/L8)</f>
        <v/>
      </c>
      <c r="Q8" s="31">
        <f>IF(N(D8)*N(K8)=0,"",D8*K8)</f>
        <v/>
      </c>
      <c r="R8" s="54">
        <f>IF(M8&gt;0,N8/L8,IF(N(D8)*N(K8)=0,0,D8*K8))</f>
        <v/>
      </c>
      <c r="S8" s="72">
        <f>IF(R8=0,"",R8-E8)</f>
        <v/>
      </c>
    </row>
    <row r="9">
      <c r="A9" s="66" t="n"/>
      <c r="B9" s="66" t="n"/>
      <c r="C9" s="66" t="n"/>
      <c r="D9" s="18" t="n"/>
      <c r="E9" s="19" t="n"/>
      <c r="F9" s="19" t="n"/>
      <c r="G9" s="67" t="n"/>
      <c r="H9" s="68" t="n"/>
      <c r="I9" s="68" t="n"/>
      <c r="J9" s="19" t="n"/>
      <c r="K9" s="18" t="n"/>
      <c r="L9" s="67" t="n"/>
      <c r="M9" s="28">
        <f>IF(C9="Yes",F9*(1+G9)^(H9-1),0)</f>
        <v/>
      </c>
      <c r="N9" s="28">
        <f>IF(M9=0,0,M9-J9)</f>
        <v/>
      </c>
      <c r="O9" s="69">
        <f>IF(E9&gt;0,N9/E9,0)</f>
        <v/>
      </c>
      <c r="P9" s="28">
        <f>IF(M9=0,"",N9/L9)</f>
        <v/>
      </c>
      <c r="Q9" s="28">
        <f>IF(N(D9)*N(K9)=0,"",D9*K9)</f>
        <v/>
      </c>
      <c r="R9" s="51">
        <f>IF(M9&gt;0,N9/L9,IF(N(D9)*N(K9)=0,0,D9*K9))</f>
        <v/>
      </c>
      <c r="S9" s="70">
        <f>IF(R9=0,"",R9-E9)</f>
        <v/>
      </c>
    </row>
    <row r="10">
      <c r="A10" s="66" t="n"/>
      <c r="B10" s="66" t="n"/>
      <c r="C10" s="66" t="n"/>
      <c r="D10" s="18" t="n"/>
      <c r="E10" s="19" t="n"/>
      <c r="F10" s="19" t="n"/>
      <c r="G10" s="67" t="n"/>
      <c r="H10" s="68" t="n"/>
      <c r="I10" s="68" t="n"/>
      <c r="J10" s="19" t="n"/>
      <c r="K10" s="18" t="n"/>
      <c r="L10" s="67" t="n"/>
      <c r="M10" s="31">
        <f>IF(C10="Yes",F10*(1+G10)^(H10-1),0)</f>
        <v/>
      </c>
      <c r="N10" s="31">
        <f>IF(M10=0,0,M10-J10)</f>
        <v/>
      </c>
      <c r="O10" s="71">
        <f>IF(E10&gt;0,N10/E10,0)</f>
        <v/>
      </c>
      <c r="P10" s="31">
        <f>IF(M10=0,"",N10/L10)</f>
        <v/>
      </c>
      <c r="Q10" s="31">
        <f>IF(N(D10)*N(K10)=0,"",D10*K10)</f>
        <v/>
      </c>
      <c r="R10" s="54">
        <f>IF(M10&gt;0,N10/L10,IF(N(D10)*N(K10)=0,0,D10*K10))</f>
        <v/>
      </c>
      <c r="S10" s="72">
        <f>IF(R10=0,"",R10-E10)</f>
        <v/>
      </c>
    </row>
    <row r="11">
      <c r="A11" s="66" t="n"/>
      <c r="B11" s="66" t="n"/>
      <c r="C11" s="66" t="n"/>
      <c r="D11" s="18" t="n"/>
      <c r="E11" s="19" t="n"/>
      <c r="F11" s="19" t="n"/>
      <c r="G11" s="67" t="n"/>
      <c r="H11" s="68" t="n"/>
      <c r="I11" s="68" t="n"/>
      <c r="J11" s="19" t="n"/>
      <c r="K11" s="18" t="n"/>
      <c r="L11" s="67" t="n"/>
      <c r="M11" s="28">
        <f>IF(C11="Yes",F11*(1+G11)^(H11-1),0)</f>
        <v/>
      </c>
      <c r="N11" s="28">
        <f>IF(M11=0,0,M11-J11)</f>
        <v/>
      </c>
      <c r="O11" s="69">
        <f>IF(E11&gt;0,N11/E11,0)</f>
        <v/>
      </c>
      <c r="P11" s="28">
        <f>IF(M11=0,"",N11/L11)</f>
        <v/>
      </c>
      <c r="Q11" s="28">
        <f>IF(N(D11)*N(K11)=0,"",D11*K11)</f>
        <v/>
      </c>
      <c r="R11" s="51">
        <f>IF(M11&gt;0,N11/L11,IF(N(D11)*N(K11)=0,0,D11*K11))</f>
        <v/>
      </c>
      <c r="S11" s="70">
        <f>IF(R11=0,"",R11-E11)</f>
        <v/>
      </c>
    </row>
    <row r="12">
      <c r="A12" s="66" t="n"/>
      <c r="B12" s="66" t="n"/>
      <c r="C12" s="66" t="n"/>
      <c r="D12" s="18" t="n"/>
      <c r="E12" s="19" t="n"/>
      <c r="F12" s="19" t="n"/>
      <c r="G12" s="67" t="n"/>
      <c r="H12" s="68" t="n"/>
      <c r="I12" s="68" t="n"/>
      <c r="J12" s="19" t="n"/>
      <c r="K12" s="18" t="n"/>
      <c r="L12" s="67" t="n"/>
      <c r="M12" s="31">
        <f>IF(C12="Yes",F12*(1+G12)^(H12-1),0)</f>
        <v/>
      </c>
      <c r="N12" s="31">
        <f>IF(M12=0,0,M12-J12)</f>
        <v/>
      </c>
      <c r="O12" s="71">
        <f>IF(E12&gt;0,N12/E12,0)</f>
        <v/>
      </c>
      <c r="P12" s="31">
        <f>IF(M12=0,"",N12/L12)</f>
        <v/>
      </c>
      <c r="Q12" s="31">
        <f>IF(N(D12)*N(K12)=0,"",D12*K12)</f>
        <v/>
      </c>
      <c r="R12" s="54">
        <f>IF(M12&gt;0,N12/L12,IF(N(D12)*N(K12)=0,0,D12*K12))</f>
        <v/>
      </c>
      <c r="S12" s="72">
        <f>IF(R12=0,"",R12-E12)</f>
        <v/>
      </c>
    </row>
    <row r="13">
      <c r="A13" s="66" t="n"/>
      <c r="B13" s="66" t="n"/>
      <c r="C13" s="66" t="n"/>
      <c r="D13" s="18" t="n"/>
      <c r="E13" s="19" t="n"/>
      <c r="F13" s="19" t="n"/>
      <c r="G13" s="67" t="n"/>
      <c r="H13" s="68" t="n"/>
      <c r="I13" s="68" t="n"/>
      <c r="J13" s="19" t="n"/>
      <c r="K13" s="18" t="n"/>
      <c r="L13" s="67" t="n"/>
      <c r="M13" s="28">
        <f>IF(C13="Yes",F13*(1+G13)^(H13-1),0)</f>
        <v/>
      </c>
      <c r="N13" s="28">
        <f>IF(M13=0,0,M13-J13)</f>
        <v/>
      </c>
      <c r="O13" s="69">
        <f>IF(E13&gt;0,N13/E13,0)</f>
        <v/>
      </c>
      <c r="P13" s="28">
        <f>IF(M13=0,"",N13/L13)</f>
        <v/>
      </c>
      <c r="Q13" s="28">
        <f>IF(N(D13)*N(K13)=0,"",D13*K13)</f>
        <v/>
      </c>
      <c r="R13" s="51">
        <f>IF(M13&gt;0,N13/L13,IF(N(D13)*N(K13)=0,0,D13*K13))</f>
        <v/>
      </c>
      <c r="S13" s="70">
        <f>IF(R13=0,"",R13-E13)</f>
        <v/>
      </c>
    </row>
    <row r="14">
      <c r="A14" s="66" t="n"/>
      <c r="B14" s="66" t="n"/>
      <c r="C14" s="66" t="n"/>
      <c r="D14" s="18" t="n"/>
      <c r="E14" s="19" t="n"/>
      <c r="F14" s="19" t="n"/>
      <c r="G14" s="67" t="n"/>
      <c r="H14" s="68" t="n"/>
      <c r="I14" s="68" t="n"/>
      <c r="J14" s="19" t="n"/>
      <c r="K14" s="18" t="n"/>
      <c r="L14" s="67" t="n"/>
      <c r="M14" s="31">
        <f>IF(C14="Yes",F14*(1+G14)^(H14-1),0)</f>
        <v/>
      </c>
      <c r="N14" s="31">
        <f>IF(M14=0,0,M14-J14)</f>
        <v/>
      </c>
      <c r="O14" s="71">
        <f>IF(E14&gt;0,N14/E14,0)</f>
        <v/>
      </c>
      <c r="P14" s="31">
        <f>IF(M14=0,"",N14/L14)</f>
        <v/>
      </c>
      <c r="Q14" s="31">
        <f>IF(N(D14)*N(K14)=0,"",D14*K14)</f>
        <v/>
      </c>
      <c r="R14" s="54">
        <f>IF(M14&gt;0,N14/L14,IF(N(D14)*N(K14)=0,0,D14*K14))</f>
        <v/>
      </c>
      <c r="S14" s="72">
        <f>IF(R14=0,"",R14-E14)</f>
        <v/>
      </c>
    </row>
    <row r="15">
      <c r="A15" s="66" t="n"/>
      <c r="B15" s="66" t="n"/>
      <c r="C15" s="66" t="n"/>
      <c r="D15" s="18" t="n"/>
      <c r="E15" s="19" t="n"/>
      <c r="F15" s="19" t="n"/>
      <c r="G15" s="67" t="n"/>
      <c r="H15" s="68" t="n"/>
      <c r="I15" s="68" t="n"/>
      <c r="J15" s="19" t="n"/>
      <c r="K15" s="18" t="n"/>
      <c r="L15" s="67" t="n"/>
      <c r="M15" s="28">
        <f>IF(C15="Yes",F15*(1+G15)^(H15-1),0)</f>
        <v/>
      </c>
      <c r="N15" s="28">
        <f>IF(M15=0,0,M15-J15)</f>
        <v/>
      </c>
      <c r="O15" s="69">
        <f>IF(E15&gt;0,N15/E15,0)</f>
        <v/>
      </c>
      <c r="P15" s="28">
        <f>IF(M15=0,"",N15/L15)</f>
        <v/>
      </c>
      <c r="Q15" s="28">
        <f>IF(N(D15)*N(K15)=0,"",D15*K15)</f>
        <v/>
      </c>
      <c r="R15" s="51">
        <f>IF(M15&gt;0,N15/L15,IF(N(D15)*N(K15)=0,0,D15*K15))</f>
        <v/>
      </c>
      <c r="S15" s="70">
        <f>IF(R15=0,"",R15-E15)</f>
        <v/>
      </c>
    </row>
    <row r="16">
      <c r="A16" s="66" t="n"/>
      <c r="B16" s="66" t="n"/>
      <c r="C16" s="66" t="n"/>
      <c r="D16" s="18" t="n"/>
      <c r="E16" s="19" t="n"/>
      <c r="F16" s="19" t="n"/>
      <c r="G16" s="67" t="n"/>
      <c r="H16" s="68" t="n"/>
      <c r="I16" s="68" t="n"/>
      <c r="J16" s="19" t="n"/>
      <c r="K16" s="18" t="n"/>
      <c r="L16" s="67" t="n"/>
      <c r="M16" s="31">
        <f>IF(C16="Yes",F16*(1+G16)^(H16-1),0)</f>
        <v/>
      </c>
      <c r="N16" s="31">
        <f>IF(M16=0,0,M16-J16)</f>
        <v/>
      </c>
      <c r="O16" s="71">
        <f>IF(E16&gt;0,N16/E16,0)</f>
        <v/>
      </c>
      <c r="P16" s="31">
        <f>IF(M16=0,"",N16/L16)</f>
        <v/>
      </c>
      <c r="Q16" s="31">
        <f>IF(N(D16)*N(K16)=0,"",D16*K16)</f>
        <v/>
      </c>
      <c r="R16" s="54">
        <f>IF(M16&gt;0,N16/L16,IF(N(D16)*N(K16)=0,0,D16*K16))</f>
        <v/>
      </c>
      <c r="S16" s="72">
        <f>IF(R16=0,"",R16-E16)</f>
        <v/>
      </c>
    </row>
    <row r="17">
      <c r="A17" s="73" t="inlineStr">
        <is>
          <t>PORTFOLIO TOTAL</t>
        </is>
      </c>
      <c r="B17" s="74" t="n"/>
      <c r="C17" s="74" t="n"/>
      <c r="D17" s="75">
        <f>SUM(D5:D16)</f>
        <v/>
      </c>
      <c r="E17" s="76">
        <f>SUM(E5:E16)</f>
        <v/>
      </c>
      <c r="F17" s="77" t="n"/>
      <c r="G17" s="77" t="n"/>
      <c r="H17" s="77" t="n"/>
      <c r="I17" s="77" t="n"/>
      <c r="J17" s="77" t="n"/>
      <c r="K17" s="77" t="n"/>
      <c r="L17" s="77" t="n"/>
      <c r="M17" s="77" t="n"/>
      <c r="N17" s="76">
        <f>SUM(N5:N16)</f>
        <v/>
      </c>
      <c r="O17" s="78">
        <f>IF(SUM(E5:E16)&gt;0,SUM(N5:N16)/SUM(E5:E16),0)</f>
        <v/>
      </c>
      <c r="P17" s="77" t="n"/>
      <c r="Q17" s="77" t="n"/>
      <c r="R17" s="76">
        <f>SUM(R5:R16)</f>
        <v/>
      </c>
      <c r="S17" s="79">
        <f>SUM(S5:S16)</f>
        <v/>
      </c>
    </row>
    <row r="19">
      <c r="A19" s="80" t="inlineStr">
        <is>
          <t>Total invested</t>
        </is>
      </c>
      <c r="C19" s="80" t="inlineStr">
        <is>
          <t>Total value</t>
        </is>
      </c>
      <c r="E19" s="80" t="inlineStr">
        <is>
          <t>Total gain</t>
        </is>
      </c>
      <c r="G19" s="80" t="inlineStr">
        <is>
          <t>Total return</t>
        </is>
      </c>
      <c r="I19" s="80" t="inlineStr">
        <is>
          <t>Blended net yield</t>
        </is>
      </c>
    </row>
    <row r="20">
      <c r="A20" s="81">
        <f>E17</f>
        <v/>
      </c>
      <c r="C20" s="82">
        <f>R17</f>
        <v/>
      </c>
      <c r="E20" s="83">
        <f>S17</f>
        <v/>
      </c>
      <c r="G20" s="84">
        <f>IF(E17&gt;0,S17/E17,0)</f>
        <v/>
      </c>
      <c r="I20" s="85">
        <f>O17</f>
        <v/>
      </c>
    </row>
    <row r="22">
      <c r="A22" s="12" t="inlineStr">
        <is>
          <t>Blended net yield = total NOI ÷ total invested. 'Indicative' uses income value for tenanted units, comparable (area × AED/sqft) for vacant. Gain ignores selling costs.</t>
        </is>
      </c>
    </row>
  </sheetData>
  <mergeCells count="4">
    <mergeCell ref="A3:L3"/>
    <mergeCell ref="A2:S2"/>
    <mergeCell ref="M3:S3"/>
    <mergeCell ref="A1:S1"/>
  </mergeCells>
  <dataValidations count="2">
    <dataValidation sqref="B5:B16" showDropDown="0" showInputMessage="0" showErrorMessage="0" allowBlank="1" type="list">
      <formula1>"Apartment,Villa,Townhouse,Office,Retail,Warehouse,Land/Plot,Off-plan,Other"</formula1>
    </dataValidation>
    <dataValidation sqref="C5:C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</cols>
  <sheetData>
    <row r="1" ht="26" customHeight="1">
      <c r="A1" s="13" t="inlineStr">
        <is>
          <t>PROPERTY VALUATION — INPUTS</t>
        </is>
      </c>
    </row>
    <row r="2">
      <c r="A2" s="14" t="inlineStr">
        <is>
          <t>Edit the GOLD cells. Blue cells auto-calculate. Works for any property — tenanted or vacant.</t>
        </is>
      </c>
    </row>
    <row r="4">
      <c r="A4" s="15" t="inlineStr">
        <is>
          <t>A · PROPERTY DETAILS</t>
        </is>
      </c>
    </row>
    <row r="5">
      <c r="A5" s="16" t="inlineStr">
        <is>
          <t>Property name / reference</t>
        </is>
      </c>
      <c r="B5" s="17" t="inlineStr">
        <is>
          <t>Office – Business Bay</t>
        </is>
      </c>
    </row>
    <row r="6">
      <c r="A6" s="16" t="inlineStr">
        <is>
          <t>Property type</t>
        </is>
      </c>
      <c r="B6" s="17" t="inlineStr">
        <is>
          <t>Office</t>
        </is>
      </c>
      <c r="C6" s="12" t="inlineStr">
        <is>
          <t>Pick from dropdown</t>
        </is>
      </c>
    </row>
    <row r="7">
      <c r="A7" s="16" t="inlineStr">
        <is>
          <t>Location / community</t>
        </is>
      </c>
      <c r="B7" s="17" t="inlineStr">
        <is>
          <t>Business Bay</t>
        </is>
      </c>
    </row>
    <row r="8">
      <c r="A8" s="16" t="inlineStr">
        <is>
          <t>Built-up area (sqft)</t>
        </is>
      </c>
      <c r="B8" s="18" t="n">
        <v>1200</v>
      </c>
      <c r="C8" s="12" t="inlineStr">
        <is>
          <t>For price-per-sqft method</t>
        </is>
      </c>
    </row>
    <row r="9">
      <c r="A9" s="16" t="inlineStr">
        <is>
          <t>Tenanted?</t>
        </is>
      </c>
      <c r="B9" s="17" t="inlineStr">
        <is>
          <t>Yes</t>
        </is>
      </c>
      <c r="C9" s="12" t="inlineStr">
        <is>
          <t>Yes = use income method; No = use comparable</t>
        </is>
      </c>
    </row>
    <row r="11">
      <c r="A11" s="15" t="inlineStr">
        <is>
          <t>B · COSTS</t>
        </is>
      </c>
    </row>
    <row r="12">
      <c r="A12" s="16" t="inlineStr">
        <is>
          <t>Purchase price / your cost</t>
        </is>
      </c>
      <c r="B12" s="19" t="n">
        <v>4550000</v>
      </c>
    </row>
    <row r="13">
      <c r="A13" s="16" t="inlineStr">
        <is>
          <t>Acquisition costs already paid</t>
        </is>
      </c>
      <c r="B13" s="19" t="n">
        <v>0</v>
      </c>
      <c r="C13" s="12" t="inlineStr">
        <is>
          <t>DLD 4% + agency, if you want total invested</t>
        </is>
      </c>
    </row>
    <row r="14">
      <c r="A14" s="16" t="inlineStr">
        <is>
          <t>Total invested</t>
        </is>
      </c>
      <c r="B14" s="20">
        <f>B12+B13</f>
        <v/>
      </c>
    </row>
    <row r="16">
      <c r="A16" s="15" t="inlineStr">
        <is>
          <t>C · INCOME  (fill only if tenanted)</t>
        </is>
      </c>
    </row>
    <row r="17">
      <c r="A17" s="16" t="inlineStr">
        <is>
          <t>Lease start</t>
        </is>
      </c>
      <c r="B17" s="17" t="inlineStr">
        <is>
          <t>May 2025</t>
        </is>
      </c>
    </row>
    <row r="18">
      <c r="A18" s="16" t="inlineStr">
        <is>
          <t>Lease term (years)</t>
        </is>
      </c>
      <c r="B18" s="18" t="n">
        <v>5</v>
      </c>
      <c r="C18" s="12" t="inlineStr">
        <is>
          <t>Up to 10</t>
        </is>
      </c>
    </row>
    <row r="19">
      <c r="A19" s="16" t="inlineStr">
        <is>
          <t>Year-1 annual rent</t>
        </is>
      </c>
      <c r="B19" s="19" t="n">
        <v>465992</v>
      </c>
    </row>
    <row r="20">
      <c r="A20" s="16" t="inlineStr">
        <is>
          <t>Annual escalation %</t>
        </is>
      </c>
      <c r="B20" s="21" t="n">
        <v>0.05</v>
      </c>
      <c r="C20" s="12" t="inlineStr">
        <is>
          <t>0% = flat rent</t>
        </is>
      </c>
    </row>
    <row r="21">
      <c r="A21" s="16" t="inlineStr">
        <is>
          <t>Current lease year (passing)</t>
        </is>
      </c>
      <c r="B21" s="18" t="n">
        <v>2</v>
      </c>
      <c r="C21" s="12" t="inlineStr">
        <is>
          <t>Which year are you in now? (1-term)</t>
        </is>
      </c>
    </row>
    <row r="22">
      <c r="A22" s="16" t="inlineStr">
        <is>
          <t>Service charge per quarter</t>
        </is>
      </c>
      <c r="B22" s="19" t="n">
        <v>10000</v>
      </c>
      <c r="C22" s="12" t="inlineStr">
        <is>
          <t>Owner-paid; 0 if tenant pays</t>
        </is>
      </c>
    </row>
    <row r="23">
      <c r="A23" s="16" t="inlineStr">
        <is>
          <t>Annual service charge</t>
        </is>
      </c>
      <c r="B23" s="20">
        <f>B22*4</f>
        <v/>
      </c>
    </row>
    <row r="25">
      <c r="A25" s="15" t="inlineStr">
        <is>
          <t>D · MARKET / COMPARABLE  (for vacant or cross-check)</t>
        </is>
      </c>
    </row>
    <row r="26">
      <c r="A26" s="16" t="inlineStr">
        <is>
          <t>Market price per sqft</t>
        </is>
      </c>
      <c r="B26" s="22" t="n">
        <v>4200</v>
      </c>
      <c r="C26" s="12" t="inlineStr">
        <is>
          <t>From comparable sold prices</t>
        </is>
      </c>
    </row>
    <row r="27">
      <c r="A27" s="16" t="inlineStr">
        <is>
          <t>Comparable value (area × psf)</t>
        </is>
      </c>
      <c r="B27" s="20">
        <f>B8*B26</f>
        <v/>
      </c>
    </row>
    <row r="29">
      <c r="A29" s="15" t="inlineStr">
        <is>
          <t>E · RATES &amp; FEES  (edit to taste)</t>
        </is>
      </c>
    </row>
    <row r="30">
      <c r="A30" s="16" t="inlineStr">
        <is>
          <t>Agent commission on sale</t>
        </is>
      </c>
      <c r="B30" s="21" t="n">
        <v>0.02</v>
      </c>
      <c r="C30" s="12" t="inlineStr">
        <is>
          <t>Dubai standard 2%</t>
        </is>
      </c>
    </row>
    <row r="31">
      <c r="A31" s="16" t="inlineStr">
        <is>
          <t>VAT on commission</t>
        </is>
      </c>
      <c r="B31" s="21" t="n">
        <v>0.05</v>
      </c>
    </row>
    <row r="32">
      <c r="A32" s="16" t="inlineStr">
        <is>
          <t>DLD transfer fee</t>
        </is>
      </c>
      <c r="B32" s="21" t="n">
        <v>0.04</v>
      </c>
      <c r="C32" s="12" t="inlineStr">
        <is>
          <t>Usually buyer-paid</t>
        </is>
      </c>
    </row>
    <row r="33">
      <c r="A33" s="16" t="inlineStr">
        <is>
          <t>Target yield (headline value)</t>
        </is>
      </c>
      <c r="B33" s="21" t="n">
        <v>0.08</v>
      </c>
      <c r="C33" s="12" t="inlineStr">
        <is>
          <t>Drives the headline price</t>
        </is>
      </c>
    </row>
    <row r="34">
      <c r="A34" s="16" t="inlineStr">
        <is>
          <t>DCF discount rate</t>
        </is>
      </c>
      <c r="B34" s="21" t="n">
        <v>0.09</v>
      </c>
      <c r="C34" s="12" t="inlineStr">
        <is>
          <t>Required return</t>
        </is>
      </c>
    </row>
    <row r="35">
      <c r="A35" s="16" t="inlineStr">
        <is>
          <t>DCF exit cap rate</t>
        </is>
      </c>
      <c r="B35" s="21" t="n">
        <v>0.08</v>
      </c>
      <c r="C35" s="12" t="inlineStr">
        <is>
          <t>Resale yield at lease end</t>
        </is>
      </c>
    </row>
    <row r="37">
      <c r="A37" s="15" t="inlineStr">
        <is>
          <t>DERIVED  (auto)</t>
        </is>
      </c>
    </row>
    <row r="38">
      <c r="A38" s="16" t="inlineStr">
        <is>
          <t>Passing rent (current year)</t>
        </is>
      </c>
      <c r="B38" s="23">
        <f>IF(B9="Yes",B19*(1+B20)^(B21-1),0)</f>
        <v/>
      </c>
    </row>
    <row r="39">
      <c r="A39" s="16" t="inlineStr">
        <is>
          <t>NOI (net operating income)</t>
        </is>
      </c>
      <c r="B39" s="23">
        <f>IF(B38=0,0,B38-B23)</f>
        <v/>
      </c>
    </row>
    <row r="40">
      <c r="A40" s="16" t="inlineStr">
        <is>
          <t>Net yield on your cost</t>
        </is>
      </c>
      <c r="B40" s="24">
        <f>IF(B12&gt;0,B39/B12,0)</f>
        <v/>
      </c>
    </row>
  </sheetData>
  <mergeCells count="8">
    <mergeCell ref="A25:C25"/>
    <mergeCell ref="A11:C11"/>
    <mergeCell ref="A1:C1"/>
    <mergeCell ref="A37:C37"/>
    <mergeCell ref="A16:C16"/>
    <mergeCell ref="A29:C29"/>
    <mergeCell ref="A4:C4"/>
    <mergeCell ref="A2:C2"/>
  </mergeCells>
  <dataValidations count="2">
    <dataValidation sqref="B6" showDropDown="0" showInputMessage="0" showErrorMessage="0" allowBlank="1" type="list">
      <formula1>"Apartment,Villa,Townhouse,Office,Retail,Warehouse,Land/Plot,Off-plan,Other"</formula1>
    </dataValidation>
    <dataValidation sqref="B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</cols>
  <sheetData>
    <row r="1" ht="24" customHeight="1">
      <c r="A1" s="13" t="inlineStr">
        <is>
          <t>INCOME SCHEDULE (auto-built from Inputs)</t>
        </is>
      </c>
    </row>
    <row r="2">
      <c r="A2" s="25" t="inlineStr">
        <is>
          <t>Rent auto-fills from Year-1 rent + escalation, up to the lease term. Type actual figures over a cell to override.</t>
        </is>
      </c>
    </row>
    <row r="4">
      <c r="A4" s="26" t="inlineStr">
        <is>
          <t>Lease Year</t>
        </is>
      </c>
      <c r="B4" s="26" t="inlineStr">
        <is>
          <t>Annual Rent</t>
        </is>
      </c>
      <c r="C4" s="26" t="inlineStr">
        <is>
          <t>Net Rent</t>
        </is>
      </c>
      <c r="D4" s="26" t="inlineStr">
        <is>
          <t>Notes</t>
        </is>
      </c>
    </row>
    <row r="5">
      <c r="A5" s="27" t="n">
        <v>1</v>
      </c>
      <c r="B5" s="28">
        <f>IF(AND(Inputs!$B$9="Yes",1&lt;=Inputs!$B$18),Inputs!$B$19*(1+Inputs!$B$20)^(1-1),"")</f>
        <v/>
      </c>
      <c r="C5" s="28">
        <f>IF(B5="","",B5-Inputs!$B$23)</f>
        <v/>
      </c>
      <c r="D5" s="29" t="inlineStr">
        <is>
          <t>Year-1 base rent</t>
        </is>
      </c>
    </row>
    <row r="6">
      <c r="A6" s="30" t="n">
        <v>2</v>
      </c>
      <c r="B6" s="31">
        <f>IF(AND(Inputs!$B$9="Yes",2&lt;=Inputs!$B$18),Inputs!$B$19*(1+Inputs!$B$20)^(2-1),"")</f>
        <v/>
      </c>
      <c r="C6" s="31">
        <f>IF(B6="","",B6-Inputs!$B$23)</f>
        <v/>
      </c>
      <c r="D6" s="32" t="n"/>
    </row>
    <row r="7">
      <c r="A7" s="27" t="n">
        <v>3</v>
      </c>
      <c r="B7" s="28">
        <f>IF(AND(Inputs!$B$9="Yes",3&lt;=Inputs!$B$18),Inputs!$B$19*(1+Inputs!$B$20)^(3-1),"")</f>
        <v/>
      </c>
      <c r="C7" s="28">
        <f>IF(B7="","",B7-Inputs!$B$23)</f>
        <v/>
      </c>
      <c r="D7" s="33" t="n"/>
    </row>
    <row r="8">
      <c r="A8" s="30" t="n">
        <v>4</v>
      </c>
      <c r="B8" s="31">
        <f>IF(AND(Inputs!$B$9="Yes",4&lt;=Inputs!$B$18),Inputs!$B$19*(1+Inputs!$B$20)^(4-1),"")</f>
        <v/>
      </c>
      <c r="C8" s="31">
        <f>IF(B8="","",B8-Inputs!$B$23)</f>
        <v/>
      </c>
      <c r="D8" s="32" t="n"/>
    </row>
    <row r="9">
      <c r="A9" s="27" t="n">
        <v>5</v>
      </c>
      <c r="B9" s="28">
        <f>IF(AND(Inputs!$B$9="Yes",5&lt;=Inputs!$B$18),Inputs!$B$19*(1+Inputs!$B$20)^(5-1),"")</f>
        <v/>
      </c>
      <c r="C9" s="28">
        <f>IF(B9="","",B9-Inputs!$B$23)</f>
        <v/>
      </c>
      <c r="D9" s="33" t="n"/>
    </row>
    <row r="10">
      <c r="A10" s="30" t="n">
        <v>6</v>
      </c>
      <c r="B10" s="31">
        <f>IF(AND(Inputs!$B$9="Yes",6&lt;=Inputs!$B$18),Inputs!$B$19*(1+Inputs!$B$20)^(6-1),"")</f>
        <v/>
      </c>
      <c r="C10" s="31">
        <f>IF(B10="","",B10-Inputs!$B$23)</f>
        <v/>
      </c>
      <c r="D10" s="32" t="n"/>
    </row>
    <row r="11">
      <c r="A11" s="27" t="n">
        <v>7</v>
      </c>
      <c r="B11" s="28">
        <f>IF(AND(Inputs!$B$9="Yes",7&lt;=Inputs!$B$18),Inputs!$B$19*(1+Inputs!$B$20)^(7-1),"")</f>
        <v/>
      </c>
      <c r="C11" s="28">
        <f>IF(B11="","",B11-Inputs!$B$23)</f>
        <v/>
      </c>
      <c r="D11" s="33" t="n"/>
    </row>
    <row r="12">
      <c r="A12" s="30" t="n">
        <v>8</v>
      </c>
      <c r="B12" s="31">
        <f>IF(AND(Inputs!$B$9="Yes",8&lt;=Inputs!$B$18),Inputs!$B$19*(1+Inputs!$B$20)^(8-1),"")</f>
        <v/>
      </c>
      <c r="C12" s="31">
        <f>IF(B12="","",B12-Inputs!$B$23)</f>
        <v/>
      </c>
      <c r="D12" s="32" t="n"/>
    </row>
    <row r="13">
      <c r="A13" s="27" t="n">
        <v>9</v>
      </c>
      <c r="B13" s="28">
        <f>IF(AND(Inputs!$B$9="Yes",9&lt;=Inputs!$B$18),Inputs!$B$19*(1+Inputs!$B$20)^(9-1),"")</f>
        <v/>
      </c>
      <c r="C13" s="28">
        <f>IF(B13="","",B13-Inputs!$B$23)</f>
        <v/>
      </c>
      <c r="D13" s="33" t="n"/>
    </row>
    <row r="14">
      <c r="A14" s="30" t="n">
        <v>10</v>
      </c>
      <c r="B14" s="31">
        <f>IF(AND(Inputs!$B$9="Yes",10&lt;=Inputs!$B$18),Inputs!$B$19*(1+Inputs!$B$20)^(10-1),"")</f>
        <v/>
      </c>
      <c r="C14" s="31">
        <f>IF(B14="","",B14-Inputs!$B$23)</f>
        <v/>
      </c>
      <c r="D14" s="32" t="n"/>
    </row>
    <row r="15">
      <c r="A15" s="34" t="n"/>
    </row>
    <row r="16">
      <c r="A16" s="35" t="inlineStr">
        <is>
          <t>TOTAL</t>
        </is>
      </c>
      <c r="B16" s="36">
        <f>SUM(B5:B14)</f>
        <v/>
      </c>
      <c r="C16" s="36">
        <f>SUM(C5:C14)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0" customWidth="1" min="4" max="4"/>
  </cols>
  <sheetData>
    <row r="1" ht="24" customHeight="1">
      <c r="A1" s="13" t="inlineStr">
        <is>
          <t>VALUATION — INCOME &amp; COMPARABLE</t>
        </is>
      </c>
    </row>
    <row r="3">
      <c r="A3" s="37" t="inlineStr">
        <is>
          <t>Tenanted → use INCOME method. Vacant / owner-occupier → use COMPARABLE. Both shown for cross-check.</t>
        </is>
      </c>
    </row>
    <row r="5">
      <c r="A5" s="26" t="inlineStr">
        <is>
          <t>Target Yield</t>
        </is>
      </c>
      <c r="B5" s="26" t="inlineStr">
        <is>
          <t>Value on GROSS rent</t>
        </is>
      </c>
      <c r="C5" s="26" t="inlineStr">
        <is>
          <t>Value on NET (NOI)</t>
        </is>
      </c>
      <c r="D5" s="26" t="inlineStr">
        <is>
          <t>Gain vs cost (net)</t>
        </is>
      </c>
    </row>
    <row r="6">
      <c r="A6" s="38" t="n">
        <v>0.06</v>
      </c>
      <c r="B6" s="28">
        <f>IF(Inputs!$B$38=0,"n/a",Inputs!$B$38/A6)</f>
        <v/>
      </c>
      <c r="C6" s="28">
        <f>IF(Inputs!$B$38=0,"n/a",Inputs!$B$39/A6)</f>
        <v/>
      </c>
      <c r="D6" s="39">
        <f>IF(Inputs!$B$38=0,"n/a",C6-Inputs!$B$12)</f>
        <v/>
      </c>
    </row>
    <row r="7">
      <c r="A7" s="40" t="n">
        <v>0.065</v>
      </c>
      <c r="B7" s="31">
        <f>IF(Inputs!$B$38=0,"n/a",Inputs!$B$38/A7)</f>
        <v/>
      </c>
      <c r="C7" s="31">
        <f>IF(Inputs!$B$38=0,"n/a",Inputs!$B$39/A7)</f>
        <v/>
      </c>
      <c r="D7" s="41">
        <f>IF(Inputs!$B$38=0,"n/a",C7-Inputs!$B$12)</f>
        <v/>
      </c>
    </row>
    <row r="8">
      <c r="A8" s="38" t="n">
        <v>0.07000000000000001</v>
      </c>
      <c r="B8" s="28">
        <f>IF(Inputs!$B$38=0,"n/a",Inputs!$B$38/A8)</f>
        <v/>
      </c>
      <c r="C8" s="28">
        <f>IF(Inputs!$B$38=0,"n/a",Inputs!$B$39/A8)</f>
        <v/>
      </c>
      <c r="D8" s="39">
        <f>IF(Inputs!$B$38=0,"n/a",C8-Inputs!$B$12)</f>
        <v/>
      </c>
    </row>
    <row r="9">
      <c r="A9" s="40" t="n">
        <v>0.075</v>
      </c>
      <c r="B9" s="31">
        <f>IF(Inputs!$B$38=0,"n/a",Inputs!$B$38/A9)</f>
        <v/>
      </c>
      <c r="C9" s="31">
        <f>IF(Inputs!$B$38=0,"n/a",Inputs!$B$39/A9)</f>
        <v/>
      </c>
      <c r="D9" s="41">
        <f>IF(Inputs!$B$38=0,"n/a",C9-Inputs!$B$12)</f>
        <v/>
      </c>
    </row>
    <row r="10">
      <c r="A10" s="38" t="n">
        <v>0.08</v>
      </c>
      <c r="B10" s="28">
        <f>IF(Inputs!$B$38=0,"n/a",Inputs!$B$38/A10)</f>
        <v/>
      </c>
      <c r="C10" s="28">
        <f>IF(Inputs!$B$38=0,"n/a",Inputs!$B$39/A10)</f>
        <v/>
      </c>
      <c r="D10" s="39">
        <f>IF(Inputs!$B$38=0,"n/a",C10-Inputs!$B$12)</f>
        <v/>
      </c>
    </row>
    <row r="11">
      <c r="A11" s="40" t="n">
        <v>0.08500000000000001</v>
      </c>
      <c r="B11" s="31">
        <f>IF(Inputs!$B$38=0,"n/a",Inputs!$B$38/A11)</f>
        <v/>
      </c>
      <c r="C11" s="31">
        <f>IF(Inputs!$B$38=0,"n/a",Inputs!$B$39/A11)</f>
        <v/>
      </c>
      <c r="D11" s="41">
        <f>IF(Inputs!$B$38=0,"n/a",C11-Inputs!$B$12)</f>
        <v/>
      </c>
    </row>
    <row r="12">
      <c r="A12" s="38" t="n">
        <v>0.09</v>
      </c>
      <c r="B12" s="28">
        <f>IF(Inputs!$B$38=0,"n/a",Inputs!$B$38/A12)</f>
        <v/>
      </c>
      <c r="C12" s="28">
        <f>IF(Inputs!$B$38=0,"n/a",Inputs!$B$39/A12)</f>
        <v/>
      </c>
      <c r="D12" s="39">
        <f>IF(Inputs!$B$38=0,"n/a",C12-Inputs!$B$12)</f>
        <v/>
      </c>
    </row>
    <row r="13">
      <c r="A13" s="40" t="n">
        <v>0.1</v>
      </c>
      <c r="B13" s="31">
        <f>IF(Inputs!$B$38=0,"n/a",Inputs!$B$38/A13)</f>
        <v/>
      </c>
      <c r="C13" s="31">
        <f>IF(Inputs!$B$38=0,"n/a",Inputs!$B$39/A13)</f>
        <v/>
      </c>
      <c r="D13" s="41">
        <f>IF(Inputs!$B$38=0,"n/a",C13-Inputs!$B$12)</f>
        <v/>
      </c>
    </row>
    <row r="15">
      <c r="A15" s="42" t="inlineStr">
        <is>
          <t>Headline value @ target yield</t>
        </is>
      </c>
      <c r="B15" s="43">
        <f>IF(Inputs!B38=0,"n/a",Inputs!B39/Inputs!B33)</f>
        <v/>
      </c>
    </row>
    <row r="16">
      <c r="A16" s="16" t="inlineStr">
        <is>
          <t>Comparable value (area × psf)</t>
        </is>
      </c>
      <c r="B16" s="43">
        <f>Inputs!B27</f>
        <v/>
      </c>
    </row>
  </sheetData>
  <mergeCells count="2">
    <mergeCell ref="A1:D1"/>
    <mergeCell ref="A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4" customWidth="1" min="5" max="5"/>
    <col width="18" customWidth="1" min="6" max="6"/>
  </cols>
  <sheetData>
    <row r="1" ht="24" customHeight="1">
      <c r="A1" s="13" t="inlineStr">
        <is>
          <t>DCF — remaining cashflows + reversion (tenanted only)</t>
        </is>
      </c>
    </row>
    <row r="4">
      <c r="A4" s="26" t="inlineStr">
        <is>
          <t>Lease Yr</t>
        </is>
      </c>
      <c r="B4" s="26" t="inlineStr">
        <is>
          <t>Net Rent</t>
        </is>
      </c>
      <c r="C4" s="26" t="inlineStr">
        <is>
          <t>Period t</t>
        </is>
      </c>
      <c r="D4" s="26" t="inlineStr">
        <is>
          <t>Disc.Factor</t>
        </is>
      </c>
      <c r="E4" s="26" t="inlineStr">
        <is>
          <t>PV</t>
        </is>
      </c>
    </row>
    <row r="5">
      <c r="A5" s="27" t="n">
        <v>1</v>
      </c>
      <c r="B5" s="28">
        <f>'Income Schedule'!C5</f>
        <v/>
      </c>
      <c r="C5" s="27">
        <f>1-Inputs!$B$21+1</f>
        <v/>
      </c>
      <c r="D5" s="44">
        <f>IF(OR(C5&lt;1,B5=""),0,1/(1+Inputs!$B$34)^C5)</f>
        <v/>
      </c>
      <c r="E5" s="28">
        <f>IF(B5="",0,B5*D5)</f>
        <v/>
      </c>
    </row>
    <row r="6">
      <c r="A6" s="30" t="n">
        <v>2</v>
      </c>
      <c r="B6" s="31">
        <f>'Income Schedule'!C6</f>
        <v/>
      </c>
      <c r="C6" s="30">
        <f>2-Inputs!$B$21+1</f>
        <v/>
      </c>
      <c r="D6" s="45">
        <f>IF(OR(C6&lt;1,B6=""),0,1/(1+Inputs!$B$34)^C6)</f>
        <v/>
      </c>
      <c r="E6" s="31">
        <f>IF(B6="",0,B6*D6)</f>
        <v/>
      </c>
    </row>
    <row r="7">
      <c r="A7" s="27" t="n">
        <v>3</v>
      </c>
      <c r="B7" s="28">
        <f>'Income Schedule'!C7</f>
        <v/>
      </c>
      <c r="C7" s="27">
        <f>3-Inputs!$B$21+1</f>
        <v/>
      </c>
      <c r="D7" s="44">
        <f>IF(OR(C7&lt;1,B7=""),0,1/(1+Inputs!$B$34)^C7)</f>
        <v/>
      </c>
      <c r="E7" s="28">
        <f>IF(B7="",0,B7*D7)</f>
        <v/>
      </c>
    </row>
    <row r="8">
      <c r="A8" s="30" t="n">
        <v>4</v>
      </c>
      <c r="B8" s="31">
        <f>'Income Schedule'!C8</f>
        <v/>
      </c>
      <c r="C8" s="30">
        <f>4-Inputs!$B$21+1</f>
        <v/>
      </c>
      <c r="D8" s="45">
        <f>IF(OR(C8&lt;1,B8=""),0,1/(1+Inputs!$B$34)^C8)</f>
        <v/>
      </c>
      <c r="E8" s="31">
        <f>IF(B8="",0,B8*D8)</f>
        <v/>
      </c>
    </row>
    <row r="9">
      <c r="A9" s="27" t="n">
        <v>5</v>
      </c>
      <c r="B9" s="28">
        <f>'Income Schedule'!C9</f>
        <v/>
      </c>
      <c r="C9" s="27">
        <f>5-Inputs!$B$21+1</f>
        <v/>
      </c>
      <c r="D9" s="44">
        <f>IF(OR(C9&lt;1,B9=""),0,1/(1+Inputs!$B$34)^C9)</f>
        <v/>
      </c>
      <c r="E9" s="28">
        <f>IF(B9="",0,B9*D9)</f>
        <v/>
      </c>
    </row>
    <row r="10">
      <c r="A10" s="30" t="n">
        <v>6</v>
      </c>
      <c r="B10" s="31">
        <f>'Income Schedule'!C10</f>
        <v/>
      </c>
      <c r="C10" s="30">
        <f>6-Inputs!$B$21+1</f>
        <v/>
      </c>
      <c r="D10" s="45">
        <f>IF(OR(C10&lt;1,B10=""),0,1/(1+Inputs!$B$34)^C10)</f>
        <v/>
      </c>
      <c r="E10" s="31">
        <f>IF(B10="",0,B10*D10)</f>
        <v/>
      </c>
    </row>
    <row r="11">
      <c r="A11" s="27" t="n">
        <v>7</v>
      </c>
      <c r="B11" s="28">
        <f>'Income Schedule'!C11</f>
        <v/>
      </c>
      <c r="C11" s="27">
        <f>7-Inputs!$B$21+1</f>
        <v/>
      </c>
      <c r="D11" s="44">
        <f>IF(OR(C11&lt;1,B11=""),0,1/(1+Inputs!$B$34)^C11)</f>
        <v/>
      </c>
      <c r="E11" s="28">
        <f>IF(B11="",0,B11*D11)</f>
        <v/>
      </c>
    </row>
    <row r="12">
      <c r="A12" s="30" t="n">
        <v>8</v>
      </c>
      <c r="B12" s="31">
        <f>'Income Schedule'!C12</f>
        <v/>
      </c>
      <c r="C12" s="30">
        <f>8-Inputs!$B$21+1</f>
        <v/>
      </c>
      <c r="D12" s="45">
        <f>IF(OR(C12&lt;1,B12=""),0,1/(1+Inputs!$B$34)^C12)</f>
        <v/>
      </c>
      <c r="E12" s="31">
        <f>IF(B12="",0,B12*D12)</f>
        <v/>
      </c>
    </row>
    <row r="13">
      <c r="A13" s="27" t="n">
        <v>9</v>
      </c>
      <c r="B13" s="28">
        <f>'Income Schedule'!C13</f>
        <v/>
      </c>
      <c r="C13" s="27">
        <f>9-Inputs!$B$21+1</f>
        <v/>
      </c>
      <c r="D13" s="44">
        <f>IF(OR(C13&lt;1,B13=""),0,1/(1+Inputs!$B$34)^C13)</f>
        <v/>
      </c>
      <c r="E13" s="28">
        <f>IF(B13="",0,B13*D13)</f>
        <v/>
      </c>
    </row>
    <row r="14">
      <c r="A14" s="30" t="n">
        <v>10</v>
      </c>
      <c r="B14" s="31">
        <f>'Income Schedule'!C14</f>
        <v/>
      </c>
      <c r="C14" s="30">
        <f>10-Inputs!$B$21+1</f>
        <v/>
      </c>
      <c r="D14" s="45">
        <f>IF(OR(C14&lt;1,B14=""),0,1/(1+Inputs!$B$34)^C14)</f>
        <v/>
      </c>
      <c r="E14" s="31">
        <f>IF(B14="",0,B14*D14)</f>
        <v/>
      </c>
    </row>
    <row r="16">
      <c r="D16" s="35" t="inlineStr">
        <is>
          <t>PV of income</t>
        </is>
      </c>
      <c r="E16" s="36">
        <f>SUM(E5:E14)</f>
        <v/>
      </c>
    </row>
    <row r="18">
      <c r="A18" s="46" t="inlineStr">
        <is>
          <t>REVERSION (resale at lease end)</t>
        </is>
      </c>
    </row>
    <row r="19">
      <c r="A19" s="16" t="inlineStr">
        <is>
          <t>Final-year net rent</t>
        </is>
      </c>
      <c r="B19" s="47">
        <f>IF(Inputs!B38=0,0,INDEX('Income Schedule'!C5:C14,Inputs!B18))</f>
        <v/>
      </c>
    </row>
    <row r="20">
      <c r="A20" s="16" t="inlineStr">
        <is>
          <t>Gross reversion value</t>
        </is>
      </c>
      <c r="B20" s="47">
        <f>IF(B19=0,0,B19/Inputs!B35)</f>
        <v/>
      </c>
    </row>
    <row r="21">
      <c r="A21" s="16" t="inlineStr">
        <is>
          <t>Period at reversion</t>
        </is>
      </c>
      <c r="B21" s="48">
        <f>Inputs!B18-Inputs!B21+1</f>
        <v/>
      </c>
    </row>
    <row r="22">
      <c r="A22" s="16" t="inlineStr">
        <is>
          <t>PV of reversion</t>
        </is>
      </c>
      <c r="B22" s="20">
        <f>IF(B20=0,0,B20/(1+Inputs!B34)^B21)</f>
        <v/>
      </c>
    </row>
    <row r="24">
      <c r="A24" s="10" t="inlineStr">
        <is>
          <t>DCF VALUE</t>
        </is>
      </c>
      <c r="B24" s="11">
        <f>IF(Inputs!B38=0,"n/a (vacant)",E16+B22)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13" t="inlineStr">
        <is>
          <t>NET PROCEEDS ON SALE</t>
        </is>
      </c>
    </row>
    <row r="3">
      <c r="A3" s="49" t="inlineStr">
        <is>
          <t>Edit the gold sale-price cells. Costs use the rates from the Inputs tab.</t>
        </is>
      </c>
    </row>
    <row r="5">
      <c r="A5" s="26" t="inlineStr">
        <is>
          <t>Sale Price</t>
        </is>
      </c>
      <c r="B5" s="26" t="inlineStr">
        <is>
          <t>Agent +VAT</t>
        </is>
      </c>
      <c r="C5" s="26" t="inlineStr">
        <is>
          <t>DLD (ref)</t>
        </is>
      </c>
      <c r="D5" s="26" t="inlineStr">
        <is>
          <t>Net to You</t>
        </is>
      </c>
      <c r="E5" s="26" t="inlineStr">
        <is>
          <t>Gain vs cost</t>
        </is>
      </c>
    </row>
    <row r="6">
      <c r="A6" s="19" t="n">
        <v>3000000</v>
      </c>
      <c r="B6" s="28">
        <f>A6*Inputs!$B$30*(1+Inputs!$B$31)</f>
        <v/>
      </c>
      <c r="C6" s="50">
        <f>A6*Inputs!$B$32</f>
        <v/>
      </c>
      <c r="D6" s="51">
        <f>A6-B6</f>
        <v/>
      </c>
      <c r="E6" s="52">
        <f>D6-Inputs!$B$12</f>
        <v/>
      </c>
    </row>
    <row r="7">
      <c r="A7" s="19" t="n">
        <v>4000000</v>
      </c>
      <c r="B7" s="31">
        <f>A7*Inputs!$B$30*(1+Inputs!$B$31)</f>
        <v/>
      </c>
      <c r="C7" s="53">
        <f>A7*Inputs!$B$32</f>
        <v/>
      </c>
      <c r="D7" s="54">
        <f>A7-B7</f>
        <v/>
      </c>
      <c r="E7" s="55">
        <f>D7-Inputs!$B$12</f>
        <v/>
      </c>
    </row>
    <row r="8">
      <c r="A8" s="19" t="n">
        <v>5000000</v>
      </c>
      <c r="B8" s="28">
        <f>A8*Inputs!$B$30*(1+Inputs!$B$31)</f>
        <v/>
      </c>
      <c r="C8" s="50">
        <f>A8*Inputs!$B$32</f>
        <v/>
      </c>
      <c r="D8" s="51">
        <f>A8-B8</f>
        <v/>
      </c>
      <c r="E8" s="52">
        <f>D8-Inputs!$B$12</f>
        <v/>
      </c>
    </row>
    <row r="9">
      <c r="A9" s="19" t="n">
        <v>6000000</v>
      </c>
      <c r="B9" s="31">
        <f>A9*Inputs!$B$30*(1+Inputs!$B$31)</f>
        <v/>
      </c>
      <c r="C9" s="53">
        <f>A9*Inputs!$B$32</f>
        <v/>
      </c>
      <c r="D9" s="54">
        <f>A9-B9</f>
        <v/>
      </c>
      <c r="E9" s="55">
        <f>D9-Inputs!$B$12</f>
        <v/>
      </c>
    </row>
    <row r="10">
      <c r="A10" s="19" t="n">
        <v>7000000</v>
      </c>
      <c r="B10" s="28">
        <f>A10*Inputs!$B$30*(1+Inputs!$B$31)</f>
        <v/>
      </c>
      <c r="C10" s="50">
        <f>A10*Inputs!$B$32</f>
        <v/>
      </c>
      <c r="D10" s="51">
        <f>A10-B10</f>
        <v/>
      </c>
      <c r="E10" s="52">
        <f>D10-Inputs!$B$12</f>
        <v/>
      </c>
    </row>
    <row r="11">
      <c r="A11" s="19" t="n">
        <v>8000000</v>
      </c>
      <c r="B11" s="31">
        <f>A11*Inputs!$B$30*(1+Inputs!$B$31)</f>
        <v/>
      </c>
      <c r="C11" s="53">
        <f>A11*Inputs!$B$32</f>
        <v/>
      </c>
      <c r="D11" s="54">
        <f>A11-B11</f>
        <v/>
      </c>
      <c r="E11" s="55">
        <f>D11-Inputs!$B$12</f>
        <v/>
      </c>
    </row>
    <row r="13">
      <c r="A13" s="12" t="inlineStr">
        <is>
          <t>DLD transfer fee shown for reference — normally paid by the buyer.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3" t="inlineStr">
        <is>
          <t>RETURNS &amp; TARGET PRICE</t>
        </is>
      </c>
    </row>
    <row r="3">
      <c r="A3" s="3" t="inlineStr">
        <is>
          <t>INPUTS</t>
        </is>
      </c>
    </row>
    <row r="4">
      <c r="A4" s="16" t="inlineStr">
        <is>
          <t>Your cost</t>
        </is>
      </c>
      <c r="B4" s="20">
        <f>Inputs!B12</f>
        <v/>
      </c>
    </row>
    <row r="5">
      <c r="A5" s="16" t="inlineStr">
        <is>
          <t>Holding period (years)</t>
        </is>
      </c>
      <c r="B5" s="56" t="n">
        <v>1</v>
      </c>
      <c r="C5" s="12" t="inlineStr">
        <is>
          <t>From buy to sale</t>
        </is>
      </c>
    </row>
    <row r="6">
      <c r="A6" s="16" t="inlineStr">
        <is>
          <t>Net rent collected while holding</t>
        </is>
      </c>
      <c r="B6" s="19" t="n">
        <v>449292</v>
      </c>
      <c r="C6" s="12" t="inlineStr">
        <is>
          <t>Sum of net rent received</t>
        </is>
      </c>
    </row>
    <row r="7">
      <c r="A7" s="16" t="inlineStr">
        <is>
          <t>Selling cost rate (comm+VAT)</t>
        </is>
      </c>
      <c r="B7" s="57">
        <f>Inputs!B30*(1+Inputs!B31)</f>
        <v/>
      </c>
    </row>
    <row r="8">
      <c r="A8" s="16" t="inlineStr">
        <is>
          <t>TARGET annual return</t>
        </is>
      </c>
      <c r="B8" s="21" t="n">
        <v>0.15</v>
      </c>
      <c r="C8" s="12" t="inlineStr">
        <is>
          <t>Your goal, compounded on cost</t>
        </is>
      </c>
    </row>
    <row r="10">
      <c r="A10" s="42" t="inlineStr">
        <is>
          <t>Required sale price for target</t>
        </is>
      </c>
    </row>
    <row r="11">
      <c r="A11" s="16" t="inlineStr">
        <is>
          <t>Required total profit</t>
        </is>
      </c>
      <c r="B11" s="47">
        <f>B4*((1+B8)^B5-1)</f>
        <v/>
      </c>
    </row>
    <row r="12">
      <c r="A12" s="58" t="inlineStr">
        <is>
          <t>Required sale price</t>
        </is>
      </c>
      <c r="B12" s="11">
        <f>(B11+B4-B6)/(1-B7)</f>
        <v/>
      </c>
    </row>
    <row r="14">
      <c r="A14" s="3" t="inlineStr">
        <is>
          <t>SCENARIO TABLE</t>
        </is>
      </c>
    </row>
    <row r="15">
      <c r="A15" s="26" t="inlineStr">
        <is>
          <t>Sale Price</t>
        </is>
      </c>
      <c r="B15" s="26" t="inlineStr">
        <is>
          <t>Selling Cost</t>
        </is>
      </c>
      <c r="C15" s="26" t="inlineStr">
        <is>
          <t>Capital Gain</t>
        </is>
      </c>
      <c r="D15" s="26" t="inlineStr">
        <is>
          <t>Total Profit</t>
        </is>
      </c>
      <c r="E15" s="26" t="inlineStr">
        <is>
          <t>Simple ROI</t>
        </is>
      </c>
      <c r="F15" s="26" t="inlineStr">
        <is>
          <t>Annualised</t>
        </is>
      </c>
    </row>
    <row r="16">
      <c r="A16" s="19" t="n">
        <v>4000000</v>
      </c>
      <c r="B16" s="28">
        <f>A16*$B$7</f>
        <v/>
      </c>
      <c r="C16" s="28">
        <f>A16-$B$4</f>
        <v/>
      </c>
      <c r="D16" s="51">
        <f>A16-B16-$B$4+$B$6</f>
        <v/>
      </c>
      <c r="E16" s="38">
        <f>D16/$B$4</f>
        <v/>
      </c>
      <c r="F16" s="59">
        <f>(1+E16)^(1/$B$5)-1</f>
        <v/>
      </c>
    </row>
    <row r="17">
      <c r="A17" s="19" t="n">
        <v>5000000</v>
      </c>
      <c r="B17" s="31">
        <f>A17*$B$7</f>
        <v/>
      </c>
      <c r="C17" s="31">
        <f>A17-$B$4</f>
        <v/>
      </c>
      <c r="D17" s="54">
        <f>A17-B17-$B$4+$B$6</f>
        <v/>
      </c>
      <c r="E17" s="40">
        <f>D17/$B$4</f>
        <v/>
      </c>
      <c r="F17" s="60">
        <f>(1+E17)^(1/$B$5)-1</f>
        <v/>
      </c>
    </row>
    <row r="18">
      <c r="A18" s="19" t="n">
        <v>5500000</v>
      </c>
      <c r="B18" s="28">
        <f>A18*$B$7</f>
        <v/>
      </c>
      <c r="C18" s="28">
        <f>A18-$B$4</f>
        <v/>
      </c>
      <c r="D18" s="51">
        <f>A18-B18-$B$4+$B$6</f>
        <v/>
      </c>
      <c r="E18" s="38">
        <f>D18/$B$4</f>
        <v/>
      </c>
      <c r="F18" s="59">
        <f>(1+E18)^(1/$B$5)-1</f>
        <v/>
      </c>
    </row>
    <row r="19">
      <c r="A19" s="19" t="n">
        <v>6000000</v>
      </c>
      <c r="B19" s="31">
        <f>A19*$B$7</f>
        <v/>
      </c>
      <c r="C19" s="31">
        <f>A19-$B$4</f>
        <v/>
      </c>
      <c r="D19" s="54">
        <f>A19-B19-$B$4+$B$6</f>
        <v/>
      </c>
      <c r="E19" s="40">
        <f>D19/$B$4</f>
        <v/>
      </c>
      <c r="F19" s="60">
        <f>(1+E19)^(1/$B$5)-1</f>
        <v/>
      </c>
    </row>
    <row r="20">
      <c r="A20" s="19" t="n">
        <v>6500000</v>
      </c>
      <c r="B20" s="28">
        <f>A20*$B$7</f>
        <v/>
      </c>
      <c r="C20" s="28">
        <f>A20-$B$4</f>
        <v/>
      </c>
      <c r="D20" s="51">
        <f>A20-B20-$B$4+$B$6</f>
        <v/>
      </c>
      <c r="E20" s="38">
        <f>D20/$B$4</f>
        <v/>
      </c>
      <c r="F20" s="59">
        <f>(1+E20)^(1/$B$5)-1</f>
        <v/>
      </c>
    </row>
    <row r="21">
      <c r="A21" s="19" t="n">
        <v>7000000</v>
      </c>
      <c r="B21" s="31">
        <f>A21*$B$7</f>
        <v/>
      </c>
      <c r="C21" s="31">
        <f>A21-$B$4</f>
        <v/>
      </c>
      <c r="D21" s="54">
        <f>A21-B21-$B$4+$B$6</f>
        <v/>
      </c>
      <c r="E21" s="40">
        <f>D21/$B$4</f>
        <v/>
      </c>
      <c r="F21" s="60">
        <f>(1+E21)^(1/$B$5)-1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2026-06-18T03:30:01Z</dcterms:created>
  <dcterms:modified xsi:type="dcterms:W3CDTF">2026-06-18T03:37:06Z</dcterms:modified>
</cp:coreProperties>
</file>
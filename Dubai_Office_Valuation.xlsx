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Lease Schedule" sheetId="2" state="visible" r:id="rId2"/>
    <sheet name="Valuation" sheetId="3" state="visible" r:id="rId3"/>
    <sheet name="Net Proc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AED&quot;"/>
    <numFmt numFmtId="165" formatCode="0.0%"/>
    <numFmt numFmtId="166" formatCode="+#,##0 &quot;AED&quot;;-#,##0 &quot;AED&quot;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</font>
    <font>
      <i val="1"/>
      <color rgb="00808080"/>
      <sz val="9"/>
    </font>
    <font>
      <b val="1"/>
      <color rgb="00FFFFFF"/>
      <sz val="12"/>
    </font>
    <font>
      <i val="1"/>
      <color rgb="001F3864"/>
      <sz val="10"/>
    </font>
    <font>
      <b val="1"/>
      <color rgb="00548235"/>
      <sz val="11"/>
    </font>
    <font>
      <color rgb="00A6A6A6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6E0F0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0" fillId="3" borderId="1" applyAlignment="1" pivotButton="0" quotePrefix="0" xfId="0">
      <alignment horizontal="right" vertical="center"/>
    </xf>
    <xf numFmtId="0" fontId="4" fillId="0" borderId="0" pivotButton="0" quotePrefix="0" xfId="0"/>
    <xf numFmtId="164" fontId="0" fillId="4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right" vertical="center"/>
    </xf>
    <xf numFmtId="165" fontId="0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6" fillId="0" borderId="0" pivotButton="0" quotePrefix="0" xfId="0"/>
    <xf numFmtId="166" fontId="0" fillId="8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7" fillId="0" borderId="0" pivotButton="0" quotePrefix="0" xfId="0"/>
    <xf numFmtId="164" fontId="8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6" fontId="3" fillId="8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5" customWidth="1" min="3" max="3"/>
  </cols>
  <sheetData>
    <row r="1" ht="26" customHeight="1">
      <c r="A1" s="1" t="inlineStr">
        <is>
          <t>OFFICE INVESTMENT — VALUATION MODEL</t>
        </is>
      </c>
    </row>
    <row r="3">
      <c r="A3" s="2" t="inlineStr">
        <is>
          <t>INPUTS (edit the yellow cells — everything else recalculates)</t>
        </is>
      </c>
    </row>
    <row r="5">
      <c r="A5" s="3" t="inlineStr">
        <is>
          <t>Purchase price</t>
        </is>
      </c>
      <c r="B5" s="4" t="n">
        <v>4550000</v>
      </c>
      <c r="C5" s="5" t="inlineStr">
        <is>
          <t>What you paid</t>
        </is>
      </c>
    </row>
    <row r="6">
      <c r="A6" s="3" t="inlineStr">
        <is>
          <t>Service charge per quarter</t>
        </is>
      </c>
      <c r="B6" s="4" t="n">
        <v>10000</v>
      </c>
      <c r="C6" s="5" t="inlineStr">
        <is>
          <t>Owner-paid</t>
        </is>
      </c>
    </row>
    <row r="7">
      <c r="A7" s="3" t="inlineStr">
        <is>
          <t>Annual service charge</t>
        </is>
      </c>
      <c r="B7" s="6">
        <f>B6*4</f>
        <v/>
      </c>
      <c r="C7" s="5">
        <f> quarterly x 4</f>
        <v/>
      </c>
    </row>
    <row r="8">
      <c r="A8" s="3" t="inlineStr">
        <is>
          <t>Current lease year (passing)</t>
        </is>
      </c>
      <c r="B8" s="7" t="n">
        <v>2</v>
      </c>
      <c r="C8" s="5" t="inlineStr">
        <is>
          <t>1-5; today (Jun 2026) = Year 2</t>
        </is>
      </c>
    </row>
    <row r="9">
      <c r="A9" s="3" t="inlineStr">
        <is>
          <t>Agent commission rate</t>
        </is>
      </c>
      <c r="B9" s="8" t="n">
        <v>0.02</v>
      </c>
      <c r="C9" s="5" t="inlineStr">
        <is>
          <t>Market standard 2%</t>
        </is>
      </c>
    </row>
    <row r="10">
      <c r="A10" s="3" t="inlineStr">
        <is>
          <t>VAT on commission</t>
        </is>
      </c>
      <c r="B10" s="8" t="n">
        <v>0.05</v>
      </c>
      <c r="C10" s="5" t="inlineStr">
        <is>
          <t>5% VAT on the commission</t>
        </is>
      </c>
    </row>
    <row r="11">
      <c r="A11" s="3" t="inlineStr">
        <is>
          <t>Passing rent (current year)</t>
        </is>
      </c>
      <c r="B11" s="9">
        <f>INDEX('Lease Schedule'!C5:C9,B8)</f>
        <v/>
      </c>
      <c r="C11" s="5" t="inlineStr">
        <is>
          <t>Auto-selected from lease schedule</t>
        </is>
      </c>
    </row>
    <row r="12">
      <c r="A12" s="3" t="inlineStr">
        <is>
          <t>NOI (net operating income)</t>
        </is>
      </c>
      <c r="B12" s="9">
        <f>B11-B7</f>
        <v/>
      </c>
      <c r="C12" s="5">
        <f> passing rent − annual service charge</f>
        <v/>
      </c>
    </row>
    <row r="14">
      <c r="A14" s="3" t="inlineStr">
        <is>
          <t>Net yield on cost</t>
        </is>
      </c>
      <c r="B14" s="10">
        <f>Assumptions!B12/B5</f>
        <v/>
      </c>
      <c r="C14" s="5" t="inlineStr">
        <is>
          <t>How good your purchase is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6" customWidth="1" min="4" max="4"/>
  </cols>
  <sheetData>
    <row r="1" ht="24" customHeight="1">
      <c r="A1" s="1" t="inlineStr">
        <is>
          <t>LEASE SCHEDULE  (May 2025 – May 2030, 5% annual escalation)</t>
        </is>
      </c>
    </row>
    <row r="4">
      <c r="A4" s="11" t="inlineStr">
        <is>
          <t>Year</t>
        </is>
      </c>
      <c r="B4" s="11" t="inlineStr">
        <is>
          <t>Period</t>
        </is>
      </c>
      <c r="C4" s="11" t="inlineStr">
        <is>
          <t>Annual Rent</t>
        </is>
      </c>
      <c r="D4" s="11" t="inlineStr">
        <is>
          <t>Escalation</t>
        </is>
      </c>
    </row>
    <row r="5">
      <c r="A5" s="12" t="n">
        <v>1</v>
      </c>
      <c r="B5" s="13" t="inlineStr">
        <is>
          <t>May 2025 – May 2026</t>
        </is>
      </c>
      <c r="C5" s="6" t="n">
        <v>465992</v>
      </c>
      <c r="D5" s="12" t="inlineStr">
        <is>
          <t>—</t>
        </is>
      </c>
    </row>
    <row r="6">
      <c r="A6" s="14" t="n">
        <v>2</v>
      </c>
      <c r="B6" s="15" t="inlineStr">
        <is>
          <t>May 2026 – May 2027</t>
        </is>
      </c>
      <c r="C6" s="4" t="n">
        <v>489291.6</v>
      </c>
      <c r="D6" s="16">
        <f>C6/C5-1</f>
        <v/>
      </c>
    </row>
    <row r="7">
      <c r="A7" s="12" t="n">
        <v>3</v>
      </c>
      <c r="B7" s="13" t="inlineStr">
        <is>
          <t>May 2027 – May 2028</t>
        </is>
      </c>
      <c r="C7" s="6" t="n">
        <v>513756.18</v>
      </c>
      <c r="D7" s="17">
        <f>C7/C6-1</f>
        <v/>
      </c>
    </row>
    <row r="8">
      <c r="A8" s="18" t="n">
        <v>4</v>
      </c>
      <c r="B8" s="19" t="inlineStr">
        <is>
          <t>May 2028 – May 2029</t>
        </is>
      </c>
      <c r="C8" s="20" t="n">
        <v>539443.99</v>
      </c>
      <c r="D8" s="21">
        <f>C8/C7-1</f>
        <v/>
      </c>
    </row>
    <row r="9">
      <c r="A9" s="12" t="n">
        <v>5</v>
      </c>
      <c r="B9" s="13" t="inlineStr">
        <is>
          <t>May 2029 – May 2030</t>
        </is>
      </c>
      <c r="C9" s="6" t="n">
        <v>566416.1899999999</v>
      </c>
      <c r="D9" s="17">
        <f>C9/C8-1</f>
        <v/>
      </c>
    </row>
    <row r="10">
      <c r="A10" s="22" t="n"/>
      <c r="B10" s="23" t="inlineStr">
        <is>
          <t>TOTAL</t>
        </is>
      </c>
      <c r="C10" s="24">
        <f>SUM(C5:C9)</f>
        <v/>
      </c>
      <c r="D10" s="22" t="n"/>
    </row>
    <row r="12">
      <c r="B12" s="5" t="inlineStr">
        <is>
          <t>⬑ Year 2 (gold) = current passing rent used in valuation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0" customWidth="1" min="4" max="4"/>
  </cols>
  <sheetData>
    <row r="1" ht="24" customHeight="1">
      <c r="A1" s="1" t="inlineStr">
        <is>
          <t>VALUATION — INCOME CAPITALISATION</t>
        </is>
      </c>
    </row>
    <row r="3">
      <c r="A3" s="25" t="inlineStr">
        <is>
          <t>Value = Income ÷ Target Yield. Owner pays service charge, so NET column is the realistic basis.</t>
        </is>
      </c>
    </row>
    <row r="5">
      <c r="A5" s="11" t="inlineStr">
        <is>
          <t>Target Yield</t>
        </is>
      </c>
      <c r="B5" s="11" t="inlineStr">
        <is>
          <t>Value on GROSS rent</t>
        </is>
      </c>
      <c r="C5" s="11" t="inlineStr">
        <is>
          <t>Value on NET (NOI)</t>
        </is>
      </c>
      <c r="D5" s="11" t="inlineStr">
        <is>
          <t>Gain vs purchase (net basis)</t>
        </is>
      </c>
    </row>
    <row r="6">
      <c r="A6" s="21" t="n">
        <v>0.07000000000000001</v>
      </c>
      <c r="B6" s="20">
        <f>Assumptions!B11/A6</f>
        <v/>
      </c>
      <c r="C6" s="20">
        <f>Assumptions!B12/A6</f>
        <v/>
      </c>
      <c r="D6" s="26">
        <f>C6-Assumptions!B5</f>
        <v/>
      </c>
    </row>
    <row r="7">
      <c r="A7" s="27" t="n">
        <v>0.075</v>
      </c>
      <c r="B7" s="28">
        <f>Assumptions!B11/A7</f>
        <v/>
      </c>
      <c r="C7" s="28">
        <f>Assumptions!B12/A7</f>
        <v/>
      </c>
      <c r="D7" s="29">
        <f>C7-Assumptions!B5</f>
        <v/>
      </c>
    </row>
    <row r="8">
      <c r="A8" s="21" t="n">
        <v>0.08</v>
      </c>
      <c r="B8" s="20">
        <f>Assumptions!B11/A8</f>
        <v/>
      </c>
      <c r="C8" s="20">
        <f>Assumptions!B12/A8</f>
        <v/>
      </c>
      <c r="D8" s="26">
        <f>C8-Assumptions!B5</f>
        <v/>
      </c>
    </row>
    <row r="9">
      <c r="A9" s="17" t="n">
        <v>0.08500000000000001</v>
      </c>
      <c r="B9" s="6">
        <f>Assumptions!B11/A9</f>
        <v/>
      </c>
      <c r="C9" s="6">
        <f>Assumptions!B12/A9</f>
        <v/>
      </c>
      <c r="D9" s="30">
        <f>C9-Assumptions!B5</f>
        <v/>
      </c>
    </row>
    <row r="10">
      <c r="A10" s="21" t="n">
        <v>0.09</v>
      </c>
      <c r="B10" s="20">
        <f>Assumptions!B11/A10</f>
        <v/>
      </c>
      <c r="C10" s="20">
        <f>Assumptions!B12/A10</f>
        <v/>
      </c>
      <c r="D10" s="26">
        <f>C10-Assumptions!B5</f>
        <v/>
      </c>
    </row>
    <row r="12">
      <c r="A12" s="31" t="inlineStr">
        <is>
          <t>Recommendation</t>
        </is>
      </c>
    </row>
    <row r="13">
      <c r="A13" s="3" t="inlineStr">
        <is>
          <t>List at:</t>
        </is>
      </c>
      <c r="B13" s="3" t="inlineStr">
        <is>
          <t>AED 6.4M – 6.7M</t>
        </is>
      </c>
    </row>
    <row r="14">
      <c r="A14" s="3" t="inlineStr">
        <is>
          <t>Expect to settle:</t>
        </is>
      </c>
      <c r="B14" s="3" t="inlineStr">
        <is>
          <t>AED 5.9M – 6.3M</t>
        </is>
      </c>
    </row>
    <row r="16">
      <c r="A16" s="5" t="inlineStr">
        <is>
          <t>Selling points: 5% annual escalation • secured income to May 2030 • low service charge (8% of rent)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4" customHeight="1">
      <c r="A1" s="1" t="inlineStr">
        <is>
          <t>NET PROCEEDS  (no mortgage • DLD 4% buyer-paid)</t>
        </is>
      </c>
    </row>
    <row r="3">
      <c r="A3" s="25" t="inlineStr">
        <is>
          <t>Seller cost = agent commission 2% + 5% VAT. Edit sale-price cells (gold) for your own scenarios.</t>
        </is>
      </c>
    </row>
    <row r="5">
      <c r="A5" s="11" t="inlineStr">
        <is>
          <t>Sale Price</t>
        </is>
      </c>
      <c r="B5" s="11" t="inlineStr">
        <is>
          <t>Agent Comm. +VAT</t>
        </is>
      </c>
      <c r="C5" s="11" t="inlineStr">
        <is>
          <t>DLD (buyer-paid, ref)</t>
        </is>
      </c>
      <c r="D5" s="11" t="inlineStr">
        <is>
          <t>Net to You</t>
        </is>
      </c>
      <c r="E5" s="11" t="inlineStr">
        <is>
          <t>Gain vs 4.55M</t>
        </is>
      </c>
    </row>
    <row r="6">
      <c r="A6" s="4" t="n">
        <v>5900000</v>
      </c>
      <c r="B6" s="20">
        <f>A6*Assumptions!B9*(1+Assumptions!B10)</f>
        <v/>
      </c>
      <c r="C6" s="32">
        <f>A6*0.04</f>
        <v/>
      </c>
      <c r="D6" s="33">
        <f>A6-B6</f>
        <v/>
      </c>
      <c r="E6" s="34">
        <f>D6-Assumptions!B5</f>
        <v/>
      </c>
    </row>
    <row r="7">
      <c r="A7" s="4" t="n">
        <v>6000000</v>
      </c>
      <c r="B7" s="6">
        <f>A7*Assumptions!B9*(1+Assumptions!B10)</f>
        <v/>
      </c>
      <c r="C7" s="35">
        <f>A7*0.04</f>
        <v/>
      </c>
      <c r="D7" s="36">
        <f>A7-B7</f>
        <v/>
      </c>
      <c r="E7" s="37">
        <f>D7-Assumptions!B5</f>
        <v/>
      </c>
    </row>
    <row r="8">
      <c r="A8" s="4" t="n">
        <v>6300000</v>
      </c>
      <c r="B8" s="20">
        <f>A8*Assumptions!B9*(1+Assumptions!B10)</f>
        <v/>
      </c>
      <c r="C8" s="32">
        <f>A8*0.04</f>
        <v/>
      </c>
      <c r="D8" s="33">
        <f>A8-B8</f>
        <v/>
      </c>
      <c r="E8" s="34">
        <f>D8-Assumptions!B5</f>
        <v/>
      </c>
    </row>
    <row r="9">
      <c r="A9" s="4" t="n">
        <v>6500000</v>
      </c>
      <c r="B9" s="6">
        <f>A9*Assumptions!B9*(1+Assumptions!B10)</f>
        <v/>
      </c>
      <c r="C9" s="35">
        <f>A9*0.04</f>
        <v/>
      </c>
      <c r="D9" s="36">
        <f>A9-B9</f>
        <v/>
      </c>
      <c r="E9" s="37">
        <f>D9-Assumptions!B5</f>
        <v/>
      </c>
    </row>
    <row r="10">
      <c r="A10" s="4" t="n">
        <v>6700000</v>
      </c>
      <c r="B10" s="20">
        <f>A10*Assumptions!B9*(1+Assumptions!B10)</f>
        <v/>
      </c>
      <c r="C10" s="32">
        <f>A10*0.04</f>
        <v/>
      </c>
      <c r="D10" s="33">
        <f>A10-B10</f>
        <v/>
      </c>
      <c r="E10" s="34">
        <f>D10-Assumptions!B5</f>
        <v/>
      </c>
    </row>
    <row r="12">
      <c r="A12" s="5" t="inlineStr">
        <is>
          <t>Note: DLD 4% transfer fee shown for reference only — normally paid by the buyer.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2026-06-18T03:19:31Z</dcterms:created>
  <dcterms:modified xsi:type="dcterms:W3CDTF">2026-06-18T03:19:31Z</dcterms:modified>
</cp:coreProperties>
</file>
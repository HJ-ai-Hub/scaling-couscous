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Lease Schedule" sheetId="3" state="visible" r:id="rId3"/>
    <sheet name="Valuation" sheetId="4" state="visible" r:id="rId4"/>
    <sheet name="Net Proceeds" sheetId="5" state="visible" r:id="rId5"/>
    <sheet name="DCF Valuation" sheetId="6" state="visible" r:id="rId6"/>
    <sheet name="Target Return" sheetId="7" state="visible" r:id="rId7"/>
  </sheets>
  <definedNames>
    <definedName name="_xlnm.Print_Area" localSheetId="0">'Summary'!$A$1:$D$24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 &quot;AED&quot;"/>
    <numFmt numFmtId="165" formatCode="0.0%"/>
    <numFmt numFmtId="166" formatCode="+#,##0 &quot;AED&quot;;-#,##0 &quot;AED&quot;"/>
    <numFmt numFmtId="167" formatCode="0.000"/>
    <numFmt numFmtId="168" formatCode="0.0"/>
  </numFmts>
  <fonts count="1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1F3864"/>
      <sz val="11"/>
    </font>
    <font>
      <b val="1"/>
    </font>
    <font>
      <i val="1"/>
      <color rgb="00808080"/>
      <sz val="9"/>
    </font>
    <font>
      <b val="1"/>
      <color rgb="00FFFFFF"/>
      <sz val="12"/>
    </font>
    <font>
      <i val="1"/>
      <color rgb="001F3864"/>
      <sz val="10"/>
    </font>
    <font>
      <b val="1"/>
      <color rgb="00548235"/>
      <sz val="11"/>
    </font>
    <font>
      <color rgb="00A6A6A6"/>
    </font>
    <font>
      <b val="1"/>
      <color rgb="001F3864"/>
    </font>
    <font>
      <b val="1"/>
      <color rgb="00548235"/>
      <sz val="12"/>
    </font>
    <font>
      <b val="1"/>
      <sz val="12"/>
    </font>
    <font>
      <b val="1"/>
      <color rgb="00FFFFFF"/>
      <sz val="16"/>
    </font>
    <font>
      <i val="1"/>
      <color rgb="00FFFFFF"/>
      <sz val="10"/>
    </font>
    <font>
      <b val="1"/>
      <sz val="11"/>
    </font>
    <font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E0F0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164" fontId="0" fillId="3" borderId="1" applyAlignment="1" pivotButton="0" quotePrefix="0" xfId="0">
      <alignment horizontal="right" vertical="center"/>
    </xf>
    <xf numFmtId="0" fontId="4" fillId="0" borderId="0" pivotButton="0" quotePrefix="0" xfId="0"/>
    <xf numFmtId="164" fontId="0" fillId="4" borderId="1" applyAlignment="1" pivotButton="0" quotePrefix="0" xfId="0">
      <alignment horizontal="right" vertical="center"/>
    </xf>
    <xf numFmtId="1" fontId="0" fillId="3" borderId="1" applyAlignment="1" pivotButton="0" quotePrefix="0" xfId="0">
      <alignment horizontal="right" vertical="center"/>
    </xf>
    <xf numFmtId="165" fontId="0" fillId="3" borderId="1" applyAlignment="1" pivotButton="0" quotePrefix="0" xfId="0">
      <alignment horizontal="right" vertical="center"/>
    </xf>
    <xf numFmtId="164" fontId="0" fillId="5" borderId="1" applyAlignment="1" pivotButton="0" quotePrefix="0" xfId="0">
      <alignment horizontal="right" vertical="center"/>
    </xf>
    <xf numFmtId="165" fontId="0" fillId="6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165" fontId="0" fillId="3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164" fontId="0" fillId="8" borderId="1" applyAlignment="1" pivotButton="0" quotePrefix="0" xfId="0">
      <alignment horizontal="right" vertical="center"/>
    </xf>
    <xf numFmtId="165" fontId="0" fillId="8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0" fontId="6" fillId="0" borderId="0" pivotButton="0" quotePrefix="0" xfId="0"/>
    <xf numFmtId="166" fontId="0" fillId="8" borderId="1" applyAlignment="1" pivotButton="0" quotePrefix="0" xfId="0">
      <alignment horizontal="right" vertical="center"/>
    </xf>
    <xf numFmtId="165" fontId="0" fillId="6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right" vertical="center"/>
    </xf>
    <xf numFmtId="166" fontId="0" fillId="6" borderId="1" applyAlignment="1" pivotButton="0" quotePrefix="0" xfId="0">
      <alignment horizontal="right" vertical="center"/>
    </xf>
    <xf numFmtId="166" fontId="0" fillId="4" borderId="1" applyAlignment="1" pivotButton="0" quotePrefix="0" xfId="0">
      <alignment horizontal="right" vertical="center"/>
    </xf>
    <xf numFmtId="0" fontId="7" fillId="0" borderId="0" pivotButton="0" quotePrefix="0" xfId="0"/>
    <xf numFmtId="164" fontId="8" fillId="8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right" vertical="center"/>
    </xf>
    <xf numFmtId="166" fontId="3" fillId="8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66" fontId="3" fillId="4" borderId="1" applyAlignment="1" pivotButton="0" quotePrefix="0" xfId="0">
      <alignment horizontal="right" vertical="center"/>
    </xf>
    <xf numFmtId="167" fontId="0" fillId="8" borderId="1" applyAlignment="1" pivotButton="0" quotePrefix="0" xfId="0">
      <alignment horizontal="center" vertical="center"/>
    </xf>
    <xf numFmtId="167" fontId="0" fillId="4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9" fillId="0" borderId="0" pivotButton="0" quotePrefix="0" xfId="0"/>
    <xf numFmtId="16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10" fillId="0" borderId="0" pivotButton="0" quotePrefix="0" xfId="0"/>
    <xf numFmtId="164" fontId="11" fillId="6" borderId="1" applyAlignment="1" pivotButton="0" quotePrefix="0" xfId="0">
      <alignment horizontal="right" vertical="center"/>
    </xf>
    <xf numFmtId="166" fontId="0" fillId="0" borderId="1" applyAlignment="1" pivotButton="0" quotePrefix="0" xfId="0">
      <alignment horizontal="right" vertical="center"/>
    </xf>
    <xf numFmtId="168" fontId="0" fillId="3" borderId="1" applyAlignment="1" pivotButton="0" quotePrefix="0" xfId="0">
      <alignment horizontal="right" vertical="center"/>
    </xf>
    <xf numFmtId="165" fontId="0" fillId="5" borderId="1" applyAlignment="1" pivotButton="0" quotePrefix="0" xfId="0">
      <alignment horizontal="right" vertical="center"/>
    </xf>
    <xf numFmtId="0" fontId="11" fillId="0" borderId="0" pivotButton="0" quotePrefix="0" xfId="0"/>
    <xf numFmtId="165" fontId="3" fillId="4" borderId="1" applyAlignment="1" pivotButton="0" quotePrefix="0" xfId="0">
      <alignment horizontal="center" vertical="center"/>
    </xf>
    <xf numFmtId="165" fontId="3" fillId="8" borderId="1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13" fillId="7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  <xf numFmtId="0" fontId="14" fillId="0" borderId="0" pivotButton="0" quotePrefix="0" xfId="0"/>
    <xf numFmtId="164" fontId="14" fillId="4" borderId="1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164" fontId="14" fillId="5" borderId="1" applyAlignment="1" pivotButton="0" quotePrefix="0" xfId="0">
      <alignment horizontal="right" vertical="center"/>
    </xf>
    <xf numFmtId="165" fontId="14" fillId="6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right" vertical="center"/>
    </xf>
    <xf numFmtId="166" fontId="14" fillId="6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4" customWidth="1" min="3" max="3"/>
    <col width="40" customWidth="1" min="4" max="4"/>
  </cols>
  <sheetData>
    <row r="1" ht="32" customHeight="1">
      <c r="A1" s="52" t="inlineStr">
        <is>
          <t>TENANTED OFFICE — VALUATION SUMMARY</t>
        </is>
      </c>
    </row>
    <row r="2" ht="18" customHeight="1">
      <c r="A2" s="53" t="inlineStr">
        <is>
          <t>Lease May 2025–May 2030 · 5% annual escalation · owner-paid service charge · no mortgage</t>
        </is>
      </c>
    </row>
    <row r="4">
      <c r="A4" s="2" t="inlineStr">
        <is>
          <t>THE PROPERTY</t>
        </is>
      </c>
      <c r="D4" s="54" t="inlineStr">
        <is>
          <t>WHY IT'S WORTH MORE THAN YOU PAID</t>
        </is>
      </c>
    </row>
    <row r="5">
      <c r="A5" s="55" t="inlineStr">
        <is>
          <t>Purchase price (your cost)</t>
        </is>
      </c>
      <c r="B5" s="56">
        <f>Assumptions!B5</f>
        <v/>
      </c>
    </row>
    <row r="6">
      <c r="A6" s="55" t="inlineStr">
        <is>
          <t>Current passing rent (Year 2)</t>
        </is>
      </c>
      <c r="B6" s="56">
        <f>Assumptions!B11</f>
        <v/>
      </c>
      <c r="D6" s="57" t="inlineStr">
        <is>
          <t>• You bought at an 11% yield; market trades at 7–9%, so the same income is worth more.</t>
        </is>
      </c>
    </row>
    <row r="7">
      <c r="A7" s="55" t="inlineStr">
        <is>
          <t>Annual service charge</t>
        </is>
      </c>
      <c r="B7" s="56">
        <f>Assumptions!B7</f>
        <v/>
      </c>
    </row>
    <row r="8">
      <c r="A8" s="55" t="inlineStr">
        <is>
          <t>Net operating income (NOI)</t>
        </is>
      </c>
      <c r="B8" s="58">
        <f>Assumptions!B12</f>
        <v/>
      </c>
      <c r="D8" s="57" t="inlineStr">
        <is>
          <t>• 5% annual rent escalation = built-in income growth and inflation hedge.</t>
        </is>
      </c>
    </row>
    <row r="9">
      <c r="A9" s="55" t="inlineStr">
        <is>
          <t>Net yield on your cost</t>
        </is>
      </c>
      <c r="B9" s="59">
        <f>Assumptions!B14</f>
        <v/>
      </c>
    </row>
    <row r="10">
      <c r="D10" s="57" t="inlineStr">
        <is>
          <t>• Secured tenant to May 2030 → income security justifies a sharper yield.</t>
        </is>
      </c>
    </row>
    <row r="11">
      <c r="A11" s="2" t="inlineStr">
        <is>
          <t>WHAT IT'S WORTH (three methods)</t>
        </is>
      </c>
    </row>
    <row r="12">
      <c r="A12" s="55" t="inlineStr">
        <is>
          <t>Cap rate – net @ 8.0%</t>
        </is>
      </c>
      <c r="B12" s="56">
        <f>Valuation!C8</f>
        <v/>
      </c>
      <c r="D12" s="57" t="inlineStr">
        <is>
          <t>• Service charge only ~8% of rent, so net yield stays strong.</t>
        </is>
      </c>
    </row>
    <row r="13">
      <c r="A13" s="55" t="inlineStr">
        <is>
          <t>Cap rate – gross @ 7.5%</t>
        </is>
      </c>
      <c r="B13" s="56">
        <f>Valuation!B7</f>
        <v/>
      </c>
    </row>
    <row r="14">
      <c r="A14" s="55" t="inlineStr">
        <is>
          <t>DCF (9% discount / 8% exit)</t>
        </is>
      </c>
      <c r="B14" s="58">
        <f>DCF Valuation!B22</f>
        <v/>
      </c>
      <c r="D14" s="57" t="inlineStr">
        <is>
          <t>• No mortgage → clean title, faster transfer.</t>
        </is>
      </c>
    </row>
    <row r="15"/>
    <row r="16">
      <c r="A16" s="44" t="inlineStr">
        <is>
          <t>RECOMMENDATION</t>
        </is>
      </c>
    </row>
    <row r="17">
      <c r="A17" s="49" t="inlineStr">
        <is>
          <t>List at</t>
        </is>
      </c>
      <c r="B17" s="60" t="inlineStr">
        <is>
          <t>AED 6.4M – 6.7M</t>
        </is>
      </c>
      <c r="D17" s="2" t="inlineStr">
        <is>
          <t>NEXT STEPS</t>
        </is>
      </c>
    </row>
    <row r="18">
      <c r="A18" s="49" t="inlineStr">
        <is>
          <t>Expect to settle</t>
        </is>
      </c>
      <c r="B18" s="60" t="inlineStr">
        <is>
          <t>AED 5.9M – 6.3M</t>
        </is>
      </c>
    </row>
    <row r="19">
      <c r="D19" s="57" t="inlineStr">
        <is>
          <t>1. Get a RICS valuation to confirm (~AED 3–6k).</t>
        </is>
      </c>
    </row>
    <row r="20">
      <c r="A20" s="2" t="inlineStr">
        <is>
          <t>YOUR OUTCOME (settle ≈ AED 6.0M)</t>
        </is>
      </c>
      <c r="D20" s="57" t="inlineStr">
        <is>
          <t>2. Time the sale near May to capture the next 5% step-up.</t>
        </is>
      </c>
    </row>
    <row r="21">
      <c r="A21" s="55" t="inlineStr">
        <is>
          <t>Net to you after 2% comm.+VAT</t>
        </is>
      </c>
      <c r="B21" s="58">
        <f>Net Proceeds!D7</f>
        <v/>
      </c>
      <c r="D21" s="57" t="inlineStr">
        <is>
          <t>3. List on Property Finder / Bayut with a Trakheesi permit.</t>
        </is>
      </c>
    </row>
    <row r="22">
      <c r="A22" s="55" t="inlineStr">
        <is>
          <t>Gain vs purchase</t>
        </is>
      </c>
      <c r="B22" s="61">
        <f>Net Proceeds!E7</f>
        <v/>
      </c>
      <c r="D22" s="57" t="inlineStr">
        <is>
          <t>4. Market the secured income + escalation as the headline.</t>
        </is>
      </c>
    </row>
    <row r="24">
      <c r="A24" s="5" t="inlineStr">
        <is>
          <t>All figures recalculate from the Assumptions tab. DLD 4% transfer fee normally paid by buyer (excluded). Estimates only — not a formal valuation.</t>
        </is>
      </c>
    </row>
  </sheetData>
  <mergeCells count="18">
    <mergeCell ref="A4:B4"/>
    <mergeCell ref="A1:D1"/>
    <mergeCell ref="A20:B20"/>
    <mergeCell ref="D22"/>
    <mergeCell ref="A16:B16"/>
    <mergeCell ref="D10:D11"/>
    <mergeCell ref="D20"/>
    <mergeCell ref="A11:B11"/>
    <mergeCell ref="D4:D5"/>
    <mergeCell ref="D21"/>
    <mergeCell ref="D8:D9"/>
    <mergeCell ref="D17:D18"/>
    <mergeCell ref="D19"/>
    <mergeCell ref="A24:D24"/>
    <mergeCell ref="A2:D2"/>
    <mergeCell ref="D12:D13"/>
    <mergeCell ref="D6:D7"/>
    <mergeCell ref="D14:D15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45" customWidth="1" min="3" max="3"/>
  </cols>
  <sheetData>
    <row r="1" ht="26" customHeight="1">
      <c r="A1" s="1" t="inlineStr">
        <is>
          <t>OFFICE INVESTMENT — VALUATION MODEL</t>
        </is>
      </c>
    </row>
    <row r="3">
      <c r="A3" s="2" t="inlineStr">
        <is>
          <t>INPUTS (edit the yellow cells — everything else recalculates)</t>
        </is>
      </c>
    </row>
    <row r="5">
      <c r="A5" s="3" t="inlineStr">
        <is>
          <t>Purchase price</t>
        </is>
      </c>
      <c r="B5" s="4" t="n">
        <v>4550000</v>
      </c>
      <c r="C5" s="5" t="inlineStr">
        <is>
          <t>What you paid</t>
        </is>
      </c>
    </row>
    <row r="6">
      <c r="A6" s="3" t="inlineStr">
        <is>
          <t>Service charge per quarter</t>
        </is>
      </c>
      <c r="B6" s="4" t="n">
        <v>10000</v>
      </c>
      <c r="C6" s="5" t="inlineStr">
        <is>
          <t>Owner-paid</t>
        </is>
      </c>
    </row>
    <row r="7">
      <c r="A7" s="3" t="inlineStr">
        <is>
          <t>Annual service charge</t>
        </is>
      </c>
      <c r="B7" s="6">
        <f>B6*4</f>
        <v/>
      </c>
      <c r="C7" s="5">
        <f> quarterly x 4</f>
        <v/>
      </c>
    </row>
    <row r="8">
      <c r="A8" s="3" t="inlineStr">
        <is>
          <t>Current lease year (passing)</t>
        </is>
      </c>
      <c r="B8" s="7" t="n">
        <v>2</v>
      </c>
      <c r="C8" s="5" t="inlineStr">
        <is>
          <t>1-5; today (Jun 2026) = Year 2</t>
        </is>
      </c>
    </row>
    <row r="9">
      <c r="A9" s="3" t="inlineStr">
        <is>
          <t>Agent commission rate</t>
        </is>
      </c>
      <c r="B9" s="8" t="n">
        <v>0.02</v>
      </c>
      <c r="C9" s="5" t="inlineStr">
        <is>
          <t>Market standard 2%</t>
        </is>
      </c>
    </row>
    <row r="10">
      <c r="A10" s="3" t="inlineStr">
        <is>
          <t>VAT on commission</t>
        </is>
      </c>
      <c r="B10" s="8" t="n">
        <v>0.05</v>
      </c>
      <c r="C10" s="5" t="inlineStr">
        <is>
          <t>5% VAT on the commission</t>
        </is>
      </c>
    </row>
    <row r="11">
      <c r="A11" s="3" t="inlineStr">
        <is>
          <t>Passing rent (current year)</t>
        </is>
      </c>
      <c r="B11" s="9">
        <f>INDEX('Lease Schedule'!C5:C9,B8)</f>
        <v/>
      </c>
      <c r="C11" s="5" t="inlineStr">
        <is>
          <t>Auto-selected from lease schedule</t>
        </is>
      </c>
    </row>
    <row r="12">
      <c r="A12" s="3" t="inlineStr">
        <is>
          <t>NOI (net operating income)</t>
        </is>
      </c>
      <c r="B12" s="9">
        <f>B11-B7</f>
        <v/>
      </c>
      <c r="C12" s="5">
        <f> passing rent − annual service charge</f>
        <v/>
      </c>
    </row>
    <row r="14">
      <c r="A14" s="3" t="inlineStr">
        <is>
          <t>Net yield on cost</t>
        </is>
      </c>
      <c r="B14" s="10">
        <f>Assumptions!B12/B5</f>
        <v/>
      </c>
      <c r="C14" s="5" t="inlineStr">
        <is>
          <t>How good your purchase is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0" customWidth="1" min="3" max="3"/>
    <col width="16" customWidth="1" min="4" max="4"/>
  </cols>
  <sheetData>
    <row r="1" ht="24" customHeight="1">
      <c r="A1" s="1" t="inlineStr">
        <is>
          <t>LEASE SCHEDULE  (May 2025 – May 2030, 5% annual escalation)</t>
        </is>
      </c>
    </row>
    <row r="4">
      <c r="A4" s="11" t="inlineStr">
        <is>
          <t>Year</t>
        </is>
      </c>
      <c r="B4" s="11" t="inlineStr">
        <is>
          <t>Period</t>
        </is>
      </c>
      <c r="C4" s="11" t="inlineStr">
        <is>
          <t>Annual Rent</t>
        </is>
      </c>
      <c r="D4" s="11" t="inlineStr">
        <is>
          <t>Escalation</t>
        </is>
      </c>
    </row>
    <row r="5">
      <c r="A5" s="12" t="n">
        <v>1</v>
      </c>
      <c r="B5" s="13" t="inlineStr">
        <is>
          <t>May 2025 – May 2026</t>
        </is>
      </c>
      <c r="C5" s="6" t="n">
        <v>465992</v>
      </c>
      <c r="D5" s="12" t="inlineStr">
        <is>
          <t>—</t>
        </is>
      </c>
    </row>
    <row r="6">
      <c r="A6" s="14" t="n">
        <v>2</v>
      </c>
      <c r="B6" s="15" t="inlineStr">
        <is>
          <t>May 2026 – May 2027</t>
        </is>
      </c>
      <c r="C6" s="4" t="n">
        <v>489291.6</v>
      </c>
      <c r="D6" s="16">
        <f>C6/C5-1</f>
        <v/>
      </c>
    </row>
    <row r="7">
      <c r="A7" s="12" t="n">
        <v>3</v>
      </c>
      <c r="B7" s="13" t="inlineStr">
        <is>
          <t>May 2027 – May 2028</t>
        </is>
      </c>
      <c r="C7" s="6" t="n">
        <v>513756.18</v>
      </c>
      <c r="D7" s="17">
        <f>C7/C6-1</f>
        <v/>
      </c>
    </row>
    <row r="8">
      <c r="A8" s="18" t="n">
        <v>4</v>
      </c>
      <c r="B8" s="19" t="inlineStr">
        <is>
          <t>May 2028 – May 2029</t>
        </is>
      </c>
      <c r="C8" s="20" t="n">
        <v>539443.99</v>
      </c>
      <c r="D8" s="21">
        <f>C8/C7-1</f>
        <v/>
      </c>
    </row>
    <row r="9">
      <c r="A9" s="12" t="n">
        <v>5</v>
      </c>
      <c r="B9" s="13" t="inlineStr">
        <is>
          <t>May 2029 – May 2030</t>
        </is>
      </c>
      <c r="C9" s="6" t="n">
        <v>566416.1899999999</v>
      </c>
      <c r="D9" s="17">
        <f>C9/C8-1</f>
        <v/>
      </c>
    </row>
    <row r="10">
      <c r="A10" s="22" t="n"/>
      <c r="B10" s="23" t="inlineStr">
        <is>
          <t>TOTAL</t>
        </is>
      </c>
      <c r="C10" s="24">
        <f>SUM(C5:C9)</f>
        <v/>
      </c>
      <c r="D10" s="22" t="n"/>
    </row>
    <row r="12">
      <c r="B12" s="5" t="inlineStr">
        <is>
          <t>⬑ Year 2 (gold) = current passing rent used in valuation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4" customWidth="1" min="3" max="3"/>
    <col width="30" customWidth="1" min="4" max="4"/>
  </cols>
  <sheetData>
    <row r="1" ht="24" customHeight="1">
      <c r="A1" s="1" t="inlineStr">
        <is>
          <t>VALUATION — INCOME CAPITALISATION</t>
        </is>
      </c>
    </row>
    <row r="3">
      <c r="A3" s="25" t="inlineStr">
        <is>
          <t>Value = Income ÷ Target Yield. Owner pays service charge, so NET column is the realistic basis.</t>
        </is>
      </c>
    </row>
    <row r="5">
      <c r="A5" s="11" t="inlineStr">
        <is>
          <t>Target Yield</t>
        </is>
      </c>
      <c r="B5" s="11" t="inlineStr">
        <is>
          <t>Value on GROSS rent</t>
        </is>
      </c>
      <c r="C5" s="11" t="inlineStr">
        <is>
          <t>Value on NET (NOI)</t>
        </is>
      </c>
      <c r="D5" s="11" t="inlineStr">
        <is>
          <t>Gain vs purchase (net basis)</t>
        </is>
      </c>
    </row>
    <row r="6">
      <c r="A6" s="21" t="n">
        <v>0.07000000000000001</v>
      </c>
      <c r="B6" s="20">
        <f>Assumptions!B11/A6</f>
        <v/>
      </c>
      <c r="C6" s="20">
        <f>Assumptions!B12/A6</f>
        <v/>
      </c>
      <c r="D6" s="26">
        <f>C6-Assumptions!B5</f>
        <v/>
      </c>
    </row>
    <row r="7">
      <c r="A7" s="27" t="n">
        <v>0.075</v>
      </c>
      <c r="B7" s="28">
        <f>Assumptions!B11/A7</f>
        <v/>
      </c>
      <c r="C7" s="28">
        <f>Assumptions!B12/A7</f>
        <v/>
      </c>
      <c r="D7" s="29">
        <f>C7-Assumptions!B5</f>
        <v/>
      </c>
    </row>
    <row r="8">
      <c r="A8" s="21" t="n">
        <v>0.08</v>
      </c>
      <c r="B8" s="20">
        <f>Assumptions!B11/A8</f>
        <v/>
      </c>
      <c r="C8" s="20">
        <f>Assumptions!B12/A8</f>
        <v/>
      </c>
      <c r="D8" s="26">
        <f>C8-Assumptions!B5</f>
        <v/>
      </c>
    </row>
    <row r="9">
      <c r="A9" s="17" t="n">
        <v>0.08500000000000001</v>
      </c>
      <c r="B9" s="6">
        <f>Assumptions!B11/A9</f>
        <v/>
      </c>
      <c r="C9" s="6">
        <f>Assumptions!B12/A9</f>
        <v/>
      </c>
      <c r="D9" s="30">
        <f>C9-Assumptions!B5</f>
        <v/>
      </c>
    </row>
    <row r="10">
      <c r="A10" s="21" t="n">
        <v>0.09</v>
      </c>
      <c r="B10" s="20">
        <f>Assumptions!B11/A10</f>
        <v/>
      </c>
      <c r="C10" s="20">
        <f>Assumptions!B12/A10</f>
        <v/>
      </c>
      <c r="D10" s="26">
        <f>C10-Assumptions!B5</f>
        <v/>
      </c>
    </row>
    <row r="12">
      <c r="A12" s="31" t="inlineStr">
        <is>
          <t>Recommendation</t>
        </is>
      </c>
    </row>
    <row r="13">
      <c r="A13" s="3" t="inlineStr">
        <is>
          <t>List at:</t>
        </is>
      </c>
      <c r="B13" s="3" t="inlineStr">
        <is>
          <t>AED 6.4M – 6.7M</t>
        </is>
      </c>
    </row>
    <row r="14">
      <c r="A14" s="3" t="inlineStr">
        <is>
          <t>Expect to settle:</t>
        </is>
      </c>
      <c r="B14" s="3" t="inlineStr">
        <is>
          <t>AED 5.9M – 6.3M</t>
        </is>
      </c>
    </row>
    <row r="16">
      <c r="A16" s="5" t="inlineStr">
        <is>
          <t>Selling points: 5% annual escalation • secured income to May 2030 • low service charge (8% of rent)</t>
        </is>
      </c>
    </row>
  </sheetData>
  <mergeCells count="2">
    <mergeCell ref="A1:D1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24" customHeight="1">
      <c r="A1" s="1" t="inlineStr">
        <is>
          <t>NET PROCEEDS  (no mortgage • DLD 4% buyer-paid)</t>
        </is>
      </c>
    </row>
    <row r="3">
      <c r="A3" s="25" t="inlineStr">
        <is>
          <t>Seller cost = agent commission 2% + 5% VAT. Edit sale-price cells (gold) for your own scenarios.</t>
        </is>
      </c>
    </row>
    <row r="5">
      <c r="A5" s="11" t="inlineStr">
        <is>
          <t>Sale Price</t>
        </is>
      </c>
      <c r="B5" s="11" t="inlineStr">
        <is>
          <t>Agent Comm. +VAT</t>
        </is>
      </c>
      <c r="C5" s="11" t="inlineStr">
        <is>
          <t>DLD (buyer-paid, ref)</t>
        </is>
      </c>
      <c r="D5" s="11" t="inlineStr">
        <is>
          <t>Net to You</t>
        </is>
      </c>
      <c r="E5" s="11" t="inlineStr">
        <is>
          <t>Gain vs 4.55M</t>
        </is>
      </c>
    </row>
    <row r="6">
      <c r="A6" s="4" t="n">
        <v>5900000</v>
      </c>
      <c r="B6" s="20">
        <f>A6*Assumptions!B9*(1+Assumptions!B10)</f>
        <v/>
      </c>
      <c r="C6" s="32">
        <f>A6*0.04</f>
        <v/>
      </c>
      <c r="D6" s="33">
        <f>A6-B6</f>
        <v/>
      </c>
      <c r="E6" s="34">
        <f>D6-Assumptions!B5</f>
        <v/>
      </c>
    </row>
    <row r="7">
      <c r="A7" s="4" t="n">
        <v>6000000</v>
      </c>
      <c r="B7" s="6">
        <f>A7*Assumptions!B9*(1+Assumptions!B10)</f>
        <v/>
      </c>
      <c r="C7" s="35">
        <f>A7*0.04</f>
        <v/>
      </c>
      <c r="D7" s="36">
        <f>A7-B7</f>
        <v/>
      </c>
      <c r="E7" s="37">
        <f>D7-Assumptions!B5</f>
        <v/>
      </c>
    </row>
    <row r="8">
      <c r="A8" s="4" t="n">
        <v>6300000</v>
      </c>
      <c r="B8" s="20">
        <f>A8*Assumptions!B9*(1+Assumptions!B10)</f>
        <v/>
      </c>
      <c r="C8" s="32">
        <f>A8*0.04</f>
        <v/>
      </c>
      <c r="D8" s="33">
        <f>A8-B8</f>
        <v/>
      </c>
      <c r="E8" s="34">
        <f>D8-Assumptions!B5</f>
        <v/>
      </c>
    </row>
    <row r="9">
      <c r="A9" s="4" t="n">
        <v>6500000</v>
      </c>
      <c r="B9" s="6">
        <f>A9*Assumptions!B9*(1+Assumptions!B10)</f>
        <v/>
      </c>
      <c r="C9" s="35">
        <f>A9*0.04</f>
        <v/>
      </c>
      <c r="D9" s="36">
        <f>A9-B9</f>
        <v/>
      </c>
      <c r="E9" s="37">
        <f>D9-Assumptions!B5</f>
        <v/>
      </c>
    </row>
    <row r="10">
      <c r="A10" s="4" t="n">
        <v>6700000</v>
      </c>
      <c r="B10" s="20">
        <f>A10*Assumptions!B9*(1+Assumptions!B10)</f>
        <v/>
      </c>
      <c r="C10" s="32">
        <f>A10*0.04</f>
        <v/>
      </c>
      <c r="D10" s="33">
        <f>A10-B10</f>
        <v/>
      </c>
      <c r="E10" s="34">
        <f>D10-Assumptions!B5</f>
        <v/>
      </c>
    </row>
    <row r="12">
      <c r="A12" s="5" t="inlineStr">
        <is>
          <t>Note: DLD 4% transfer fee shown for reference only — normally paid by the buyer.</t>
        </is>
      </c>
    </row>
  </sheetData>
  <mergeCells count="2">
    <mergeCell ref="A1:E1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2" customWidth="1" min="4" max="4"/>
    <col width="16" customWidth="1" min="5" max="5"/>
    <col width="18" customWidth="1" min="6" max="6"/>
  </cols>
  <sheetData>
    <row r="1" ht="24" customHeight="1">
      <c r="A1" s="1" t="inlineStr">
        <is>
          <t>DCF VALUATION  —  remaining lease cashflows + 2030 reversion</t>
        </is>
      </c>
    </row>
    <row r="3">
      <c r="A3" s="2" t="inlineStr">
        <is>
          <t>INPUTS (edit gold)</t>
        </is>
      </c>
    </row>
    <row r="4">
      <c r="A4" s="3" t="inlineStr">
        <is>
          <t>Discount rate</t>
        </is>
      </c>
      <c r="B4" s="8" t="n">
        <v>0.09</v>
      </c>
      <c r="C4" s="5" t="inlineStr">
        <is>
          <t>Investor's required return</t>
        </is>
      </c>
    </row>
    <row r="5">
      <c r="A5" s="3" t="inlineStr">
        <is>
          <t>Exit cap rate (2030)</t>
        </is>
      </c>
      <c r="B5" s="8" t="n">
        <v>0.08</v>
      </c>
      <c r="C5" s="5" t="inlineStr">
        <is>
          <t>Yield a buyer pays at resale</t>
        </is>
      </c>
    </row>
    <row r="6">
      <c r="A6" s="3" t="inlineStr">
        <is>
          <t>Annual service charge</t>
        </is>
      </c>
      <c r="B6" s="9">
        <f>Assumptions!B7</f>
        <v/>
      </c>
      <c r="C6" s="5" t="inlineStr">
        <is>
          <t>From Assumptions</t>
        </is>
      </c>
    </row>
    <row r="8">
      <c r="A8" s="11" t="inlineStr">
        <is>
          <t>Lease Year</t>
        </is>
      </c>
      <c r="B8" s="11" t="inlineStr">
        <is>
          <t>Annual Rent</t>
        </is>
      </c>
      <c r="C8" s="11" t="inlineStr">
        <is>
          <t>Net Rent</t>
        </is>
      </c>
      <c r="D8" s="11" t="inlineStr">
        <is>
          <t>Period t</t>
        </is>
      </c>
      <c r="E8" s="11" t="inlineStr">
        <is>
          <t>Disc. Factor</t>
        </is>
      </c>
      <c r="F8" s="11" t="inlineStr">
        <is>
          <t>PV of Net Rent</t>
        </is>
      </c>
    </row>
    <row r="9">
      <c r="A9" s="18" t="n">
        <v>1</v>
      </c>
      <c r="B9" s="20">
        <f>'Lease Schedule'!C5</f>
        <v/>
      </c>
      <c r="C9" s="20">
        <f>B9-$B$6</f>
        <v/>
      </c>
      <c r="D9" s="18">
        <f>A9-Assumptions!$B$8+1</f>
        <v/>
      </c>
      <c r="E9" s="38">
        <f>IF(D9&lt;1,0,1/(1+$B$4)^D9)</f>
        <v/>
      </c>
      <c r="F9" s="20">
        <f>C9*E9</f>
        <v/>
      </c>
    </row>
    <row r="10">
      <c r="A10" s="12" t="n">
        <v>2</v>
      </c>
      <c r="B10" s="6">
        <f>'Lease Schedule'!C6</f>
        <v/>
      </c>
      <c r="C10" s="6">
        <f>B10-$B$6</f>
        <v/>
      </c>
      <c r="D10" s="12">
        <f>A10-Assumptions!$B$8+1</f>
        <v/>
      </c>
      <c r="E10" s="39">
        <f>IF(D10&lt;1,0,1/(1+$B$4)^D10)</f>
        <v/>
      </c>
      <c r="F10" s="6">
        <f>C10*E10</f>
        <v/>
      </c>
    </row>
    <row r="11">
      <c r="A11" s="18" t="n">
        <v>3</v>
      </c>
      <c r="B11" s="20">
        <f>'Lease Schedule'!C7</f>
        <v/>
      </c>
      <c r="C11" s="20">
        <f>B11-$B$6</f>
        <v/>
      </c>
      <c r="D11" s="18">
        <f>A11-Assumptions!$B$8+1</f>
        <v/>
      </c>
      <c r="E11" s="38">
        <f>IF(D11&lt;1,0,1/(1+$B$4)^D11)</f>
        <v/>
      </c>
      <c r="F11" s="20">
        <f>C11*E11</f>
        <v/>
      </c>
    </row>
    <row r="12">
      <c r="A12" s="12" t="n">
        <v>4</v>
      </c>
      <c r="B12" s="6">
        <f>'Lease Schedule'!C8</f>
        <v/>
      </c>
      <c r="C12" s="6">
        <f>B12-$B$6</f>
        <v/>
      </c>
      <c r="D12" s="12">
        <f>A12-Assumptions!$B$8+1</f>
        <v/>
      </c>
      <c r="E12" s="39">
        <f>IF(D12&lt;1,0,1/(1+$B$4)^D12)</f>
        <v/>
      </c>
      <c r="F12" s="6">
        <f>C12*E12</f>
        <v/>
      </c>
    </row>
    <row r="13">
      <c r="A13" s="18" t="n">
        <v>5</v>
      </c>
      <c r="B13" s="20">
        <f>'Lease Schedule'!C9</f>
        <v/>
      </c>
      <c r="C13" s="20">
        <f>B13-$B$6</f>
        <v/>
      </c>
      <c r="D13" s="18">
        <f>A13-Assumptions!$B$8+1</f>
        <v/>
      </c>
      <c r="E13" s="38">
        <f>IF(D13&lt;1,0,1/(1+$B$4)^D13)</f>
        <v/>
      </c>
      <c r="F13" s="20">
        <f>C13*E13</f>
        <v/>
      </c>
    </row>
    <row r="14">
      <c r="E14" s="40" t="inlineStr">
        <is>
          <t>PV of lease income</t>
        </is>
      </c>
      <c r="F14" s="24">
        <f>SUM(F9:F13)</f>
        <v/>
      </c>
    </row>
    <row r="16">
      <c r="A16" s="41" t="inlineStr">
        <is>
          <t>REVERSION (sale at end of lease, May 2030)</t>
        </is>
      </c>
    </row>
    <row r="17">
      <c r="A17" s="3" t="inlineStr">
        <is>
          <t>Year-5 net rent</t>
        </is>
      </c>
      <c r="B17" s="42">
        <f>C13</f>
        <v/>
      </c>
    </row>
    <row r="18">
      <c r="A18" s="3" t="inlineStr">
        <is>
          <t>Gross reversion value</t>
        </is>
      </c>
      <c r="B18" s="42">
        <f>B17/$B$5</f>
        <v/>
      </c>
      <c r="C18" s="5">
        <f> Year-5 net rent ÷ exit cap rate</f>
        <v/>
      </c>
    </row>
    <row r="19">
      <c r="A19" s="3" t="inlineStr">
        <is>
          <t>Period at reversion</t>
        </is>
      </c>
      <c r="B19" s="43">
        <f>5-Assumptions!B8+1</f>
        <v/>
      </c>
    </row>
    <row r="20">
      <c r="A20" s="3" t="inlineStr">
        <is>
          <t>PV of reversion</t>
        </is>
      </c>
      <c r="B20" s="9">
        <f>B18/(1+$B$4)^B19</f>
        <v/>
      </c>
    </row>
    <row r="22">
      <c r="A22" s="44" t="inlineStr">
        <is>
          <t>DCF VALUE (today)</t>
        </is>
      </c>
      <c r="B22" s="45">
        <f>F14+B20</f>
        <v/>
      </c>
    </row>
    <row r="23">
      <c r="A23" s="3" t="inlineStr">
        <is>
          <t>Implied gain vs purchase</t>
        </is>
      </c>
      <c r="B23" s="46">
        <f>B22-Assumptions!B5</f>
        <v/>
      </c>
    </row>
    <row r="25">
      <c r="A25" s="5" t="inlineStr">
        <is>
          <t>DCF cross-checks the cap-rate method by valuing the actual remaining cashflows plus a 2030 resale.</t>
        </is>
      </c>
    </row>
    <row r="26">
      <c r="A26" s="5" t="inlineStr">
        <is>
          <t>Lower discount rate → higher value. Lower exit cap → higher reversion. Try 8%/7.5% for an optimistic case.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1" t="inlineStr">
        <is>
          <t>TARGET RETURN  —  what price hits your goal</t>
        </is>
      </c>
    </row>
    <row r="3">
      <c r="A3" s="2" t="inlineStr">
        <is>
          <t>INPUTS (edit gold)</t>
        </is>
      </c>
    </row>
    <row r="4">
      <c r="A4" s="3" t="inlineStr">
        <is>
          <t>Your cost (purchase price)</t>
        </is>
      </c>
      <c r="B4" s="9">
        <f>Assumptions!B5</f>
        <v/>
      </c>
      <c r="C4" s="5" t="inlineStr">
        <is>
          <t>From Assumptions</t>
        </is>
      </c>
    </row>
    <row r="5">
      <c r="A5" s="3" t="inlineStr">
        <is>
          <t>Holding period (years)</t>
        </is>
      </c>
      <c r="B5" s="47" t="n">
        <v>1.1</v>
      </c>
      <c r="C5" s="5" t="inlineStr">
        <is>
          <t>From buy (~May 2025) to sale</t>
        </is>
      </c>
    </row>
    <row r="6">
      <c r="A6" s="3" t="inlineStr">
        <is>
          <t>Net rent collected while holding</t>
        </is>
      </c>
      <c r="B6" s="4" t="n">
        <v>449292</v>
      </c>
      <c r="C6" s="5" t="inlineStr">
        <is>
          <t>≈ one year net rent; adjust to actual</t>
        </is>
      </c>
    </row>
    <row r="7">
      <c r="A7" s="3" t="inlineStr">
        <is>
          <t>Agent commission +VAT</t>
        </is>
      </c>
      <c r="B7" s="48">
        <f>Assumptions!B9*(1+Assumptions!B10)</f>
        <v/>
      </c>
      <c r="C7" s="5" t="inlineStr">
        <is>
          <t>2% x 1.05</t>
        </is>
      </c>
    </row>
    <row r="8">
      <c r="A8" s="3" t="inlineStr">
        <is>
          <t>TARGET annual return</t>
        </is>
      </c>
      <c r="B8" s="8" t="n">
        <v>0.2</v>
      </c>
      <c r="C8" s="5" t="inlineStr">
        <is>
          <t>Your goal (compound, on cost)</t>
        </is>
      </c>
    </row>
    <row r="10">
      <c r="A10" s="31" t="inlineStr">
        <is>
          <t>Required sale price for target</t>
        </is>
      </c>
    </row>
    <row r="11">
      <c r="A11" s="3" t="inlineStr">
        <is>
          <t>Required total profit</t>
        </is>
      </c>
      <c r="B11" s="42">
        <f>B4*((1+B8)^B5-1)</f>
        <v/>
      </c>
      <c r="C11" s="5">
        <f> cost × ((1+target)^years − 1)</f>
        <v/>
      </c>
    </row>
    <row r="12">
      <c r="A12" s="49" t="inlineStr">
        <is>
          <t>Required sale price</t>
        </is>
      </c>
      <c r="B12" s="45">
        <f>(B11+B4-B6)/(1-B7)</f>
        <v/>
      </c>
      <c r="C12" s="5" t="inlineStr">
        <is>
          <t>Price needed to achieve the target return above</t>
        </is>
      </c>
    </row>
    <row r="14">
      <c r="A14" s="2" t="inlineStr">
        <is>
          <t>SCENARIO TABLE — return at each sale price</t>
        </is>
      </c>
    </row>
    <row r="15">
      <c r="A15" s="11" t="inlineStr">
        <is>
          <t>Sale Price</t>
        </is>
      </c>
      <c r="B15" s="11" t="inlineStr">
        <is>
          <t>Selling Cost</t>
        </is>
      </c>
      <c r="C15" s="11" t="inlineStr">
        <is>
          <t>Capital Gain</t>
        </is>
      </c>
      <c r="D15" s="11" t="inlineStr">
        <is>
          <t>Total Profit</t>
        </is>
      </c>
      <c r="E15" s="11" t="inlineStr">
        <is>
          <t>Simple ROI</t>
        </is>
      </c>
      <c r="F15" s="11" t="inlineStr">
        <is>
          <t>Annualised</t>
        </is>
      </c>
    </row>
    <row r="16">
      <c r="A16" s="4" t="n">
        <v>5500000</v>
      </c>
      <c r="B16" s="6">
        <f>A16*B7</f>
        <v/>
      </c>
      <c r="C16" s="6">
        <f>A16-B4</f>
        <v/>
      </c>
      <c r="D16" s="36">
        <f>A16-B16-B4+B6</f>
        <v/>
      </c>
      <c r="E16" s="17">
        <f>D16/B4</f>
        <v/>
      </c>
      <c r="F16" s="50">
        <f>(1+E16)^(1/B5)-1</f>
        <v/>
      </c>
    </row>
    <row r="17">
      <c r="A17" s="4" t="n">
        <v>5900000</v>
      </c>
      <c r="B17" s="20">
        <f>A17*B7</f>
        <v/>
      </c>
      <c r="C17" s="20">
        <f>A17-B4</f>
        <v/>
      </c>
      <c r="D17" s="33">
        <f>A17-B17-B4+B6</f>
        <v/>
      </c>
      <c r="E17" s="21">
        <f>D17/B4</f>
        <v/>
      </c>
      <c r="F17" s="51">
        <f>(1+E17)^(1/B5)-1</f>
        <v/>
      </c>
    </row>
    <row r="18">
      <c r="A18" s="4" t="n">
        <v>6000000</v>
      </c>
      <c r="B18" s="6">
        <f>A18*B7</f>
        <v/>
      </c>
      <c r="C18" s="6">
        <f>A18-B4</f>
        <v/>
      </c>
      <c r="D18" s="36">
        <f>A18-B18-B4+B6</f>
        <v/>
      </c>
      <c r="E18" s="17">
        <f>D18/B4</f>
        <v/>
      </c>
      <c r="F18" s="50">
        <f>(1+E18)^(1/B5)-1</f>
        <v/>
      </c>
    </row>
    <row r="19">
      <c r="A19" s="4" t="n">
        <v>6300000</v>
      </c>
      <c r="B19" s="20">
        <f>A19*B7</f>
        <v/>
      </c>
      <c r="C19" s="20">
        <f>A19-B4</f>
        <v/>
      </c>
      <c r="D19" s="33">
        <f>A19-B19-B4+B6</f>
        <v/>
      </c>
      <c r="E19" s="21">
        <f>D19/B4</f>
        <v/>
      </c>
      <c r="F19" s="51">
        <f>(1+E19)^(1/B5)-1</f>
        <v/>
      </c>
    </row>
    <row r="20">
      <c r="A20" s="4" t="n">
        <v>6500000</v>
      </c>
      <c r="B20" s="6">
        <f>A20*B7</f>
        <v/>
      </c>
      <c r="C20" s="6">
        <f>A20-B4</f>
        <v/>
      </c>
      <c r="D20" s="36">
        <f>A20-B20-B4+B6</f>
        <v/>
      </c>
      <c r="E20" s="17">
        <f>D20/B4</f>
        <v/>
      </c>
      <c r="F20" s="50">
        <f>(1+E20)^(1/B5)-1</f>
        <v/>
      </c>
    </row>
    <row r="21">
      <c r="A21" s="4" t="n">
        <v>6700000</v>
      </c>
      <c r="B21" s="20">
        <f>A21*B7</f>
        <v/>
      </c>
      <c r="C21" s="20">
        <f>A21-B4</f>
        <v/>
      </c>
      <c r="D21" s="33">
        <f>A21-B21-B4+B6</f>
        <v/>
      </c>
      <c r="E21" s="21">
        <f>D21/B4</f>
        <v/>
      </c>
      <c r="F21" s="51">
        <f>(1+E21)^(1/B5)-1</f>
        <v/>
      </c>
    </row>
    <row r="22">
      <c r="A22" s="4" t="n">
        <v>7000000</v>
      </c>
      <c r="B22" s="6">
        <f>A22*B7</f>
        <v/>
      </c>
      <c r="C22" s="6">
        <f>A22-B4</f>
        <v/>
      </c>
      <c r="D22" s="36">
        <f>A22-B22-B4+B6</f>
        <v/>
      </c>
      <c r="E22" s="17">
        <f>D22/B4</f>
        <v/>
      </c>
      <c r="F22" s="50">
        <f>(1+E22)^(1/B5)-1</f>
        <v/>
      </c>
    </row>
    <row r="24">
      <c r="A24" s="5" t="inlineStr">
        <is>
          <t>Total Profit = capital gain − selling cost + net rent collected. Annualised compounds Simple ROI over the holding period.</t>
        </is>
      </c>
    </row>
    <row r="25">
      <c r="A25" s="5" t="inlineStr">
        <is>
          <t>Note: ignores DLD transfer fee (buyer-paid) and assumes no mortgage.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2026-06-18T03:19:31Z</dcterms:created>
  <dcterms:modified xsi:type="dcterms:W3CDTF">2026-06-18T03:24:00Z</dcterms:modified>
</cp:coreProperties>
</file>
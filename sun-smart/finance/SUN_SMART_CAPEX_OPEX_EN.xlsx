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Instructions" sheetId="2" state="visible" r:id="rId2"/>
    <sheet name="Key Assumptions" sheetId="3" state="visible" r:id="rId3"/>
    <sheet name="CAPEX Startup Capex" sheetId="4" state="visible" r:id="rId4"/>
    <sheet name="OPEX Monthly Opex" sheetId="5" state="visible" r:id="rId5"/>
    <sheet name="12-Month Cash Flow Forecast" sheetId="6" state="visible" r:id="rId6"/>
  </sheets>
  <definedNames/>
  <calcPr calcId="124519" fullCalcOnLoad="1"/>
</workbook>
</file>

<file path=xl/styles.xml><?xml version="1.0" encoding="utf-8"?>
<styleSheet xmlns="http://schemas.openxmlformats.org/spreadsheetml/2006/main">
  <numFmts count="4">
    <numFmt numFmtId="164" formatCode="&quot;RM&quot; #,##0"/>
    <numFmt numFmtId="165" formatCode="0.0%"/>
    <numFmt numFmtId="166" formatCode="&quot;RM&quot; #,##0.00"/>
    <numFmt numFmtId="167" formatCode="0.0"/>
  </numFmts>
  <fonts count="11">
    <font>
      <name val="Calibri"/>
      <family val="2"/>
      <color theme="1"/>
      <sz val="11"/>
      <scheme val="minor"/>
    </font>
    <font>
      <name val="Calibri"/>
      <b val="1"/>
      <color rgb="00FFFFFF"/>
      <sz val="16"/>
    </font>
    <font>
      <b val="1"/>
    </font>
    <font>
      <name val="Calibri"/>
      <b val="1"/>
      <color rgb="00FFFFFF"/>
      <sz val="12"/>
    </font>
    <font>
      <name val="Calibri"/>
      <i val="1"/>
      <color rgb="00666666"/>
      <sz val="9"/>
    </font>
    <font>
      <name val="Calibri"/>
      <b val="1"/>
      <color rgb="001F3864"/>
      <sz val="10"/>
    </font>
    <font>
      <name val="Calibri"/>
      <b val="1"/>
      <sz val="10"/>
    </font>
    <font>
      <b val="1"/>
      <sz val="12"/>
    </font>
    <font>
      <i val="1"/>
    </font>
    <font>
      <i val="1"/>
      <color rgb="00666666"/>
      <sz val="9"/>
    </font>
    <font>
      <b val="1"/>
      <sz val="13"/>
    </font>
  </fonts>
  <fills count="7">
    <fill>
      <patternFill/>
    </fill>
    <fill>
      <patternFill patternType="gray125"/>
    </fill>
    <fill>
      <patternFill patternType="solid">
        <fgColor rgb="001F3864"/>
      </patternFill>
    </fill>
    <fill>
      <patternFill patternType="solid">
        <fgColor rgb="002A78D6"/>
      </patternFill>
    </fill>
    <fill>
      <patternFill patternType="solid">
        <fgColor rgb="00FFF7CC"/>
      </patternFill>
    </fill>
    <fill>
      <patternFill patternType="solid">
        <fgColor rgb="00DCE9F9"/>
      </patternFill>
    </fill>
    <fill>
      <patternFill patternType="solid">
        <fgColor rgb="00F2F2F0"/>
      </patternFill>
    </fill>
  </fills>
  <borders count="2">
    <border>
      <left/>
      <right/>
      <top/>
      <bottom/>
      <diagonal/>
    </border>
    <border>
      <left style="thin">
        <color rgb="00C9C9C9"/>
      </left>
      <right style="thin">
        <color rgb="00C9C9C9"/>
      </right>
      <top style="thin">
        <color rgb="00C9C9C9"/>
      </top>
      <bottom style="thin">
        <color rgb="00C9C9C9"/>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left" vertical="center" indent="1"/>
    </xf>
    <xf numFmtId="0" fontId="4" fillId="0" borderId="0" pivotButton="0" quotePrefix="0" xfId="0"/>
    <xf numFmtId="0" fontId="3" fillId="3" borderId="0" applyAlignment="1" pivotButton="0" quotePrefix="0" xfId="0">
      <alignment horizontal="left" vertical="center" indent="1"/>
    </xf>
    <xf numFmtId="166" fontId="10" fillId="0" borderId="0" pivotButton="0" quotePrefix="0" xfId="0"/>
    <xf numFmtId="166" fontId="0" fillId="0" borderId="0" pivotButton="0" quotePrefix="0" xfId="0"/>
    <xf numFmtId="0" fontId="2" fillId="0" borderId="0" pivotButton="0" quotePrefix="0" xfId="0"/>
    <xf numFmtId="0" fontId="4" fillId="0" borderId="0" applyAlignment="1" pivotButton="0" quotePrefix="0" xfId="0">
      <alignment wrapText="1"/>
    </xf>
    <xf numFmtId="0" fontId="0" fillId="0" borderId="0" applyAlignment="1" pivotButton="0" quotePrefix="0" xfId="0">
      <alignment wrapText="1"/>
    </xf>
    <xf numFmtId="0" fontId="0" fillId="0" borderId="1" pivotButton="0" quotePrefix="0" xfId="0"/>
    <xf numFmtId="164" fontId="0" fillId="4" borderId="1" pivotButton="0" quotePrefix="0" xfId="0"/>
    <xf numFmtId="165" fontId="0" fillId="4" borderId="1" pivotButton="0" quotePrefix="0" xfId="0"/>
    <xf numFmtId="1" fontId="0" fillId="4" borderId="1" pivotButton="0" quotePrefix="0" xfId="0"/>
    <xf numFmtId="0" fontId="5" fillId="5" borderId="1" applyAlignment="1" pivotButton="0" quotePrefix="0" xfId="0">
      <alignment horizontal="center" vertical="center" wrapText="1"/>
    </xf>
    <xf numFmtId="166" fontId="0" fillId="0" borderId="1" pivotButton="0" quotePrefix="0" xfId="0"/>
    <xf numFmtId="0" fontId="6" fillId="6" borderId="0" pivotButton="0" quotePrefix="0" xfId="0"/>
    <xf numFmtId="0" fontId="0" fillId="6" borderId="0" pivotButton="0" quotePrefix="0" xfId="0"/>
    <xf numFmtId="166" fontId="6" fillId="6" borderId="0" pivotButton="0" quotePrefix="0" xfId="0"/>
    <xf numFmtId="0" fontId="7" fillId="5" borderId="0" pivotButton="0" quotePrefix="0" xfId="0"/>
    <xf numFmtId="166" fontId="7" fillId="5" borderId="0" pivotButton="0" quotePrefix="0" xfId="0"/>
    <xf numFmtId="0" fontId="8" fillId="0" borderId="0" pivotButton="0" quotePrefix="0" xfId="0"/>
    <xf numFmtId="166" fontId="8" fillId="0" borderId="0" pivotButton="0" quotePrefix="0" xfId="0"/>
    <xf numFmtId="166" fontId="0" fillId="4" borderId="1" pivotButton="0" quotePrefix="0" xfId="0"/>
    <xf numFmtId="167" fontId="0" fillId="0" borderId="0" pivotButton="0" quotePrefix="0" xfId="0"/>
    <xf numFmtId="167" fontId="6" fillId="0" borderId="0" pivotButton="0" quotePrefix="0" xfId="0"/>
    <xf numFmtId="166" fontId="6" fillId="0" borderId="0" pivotButton="0" quotePrefix="0" xfId="0"/>
    <xf numFmtId="0" fontId="6" fillId="0" borderId="0" pivotButton="0" quotePrefix="0" xfId="0"/>
    <xf numFmtId="0" fontId="9" fillId="0" borderId="0" pivotButton="0" quotePrefix="0" xfId="0"/>
  </cellXfs>
  <cellStyles count="1">
    <cellStyle name="Normal" xfId="0" builtinId="0" hidden="0"/>
  </cellStyles>
  <dxfs count="2">
    <dxf>
      <font>
        <color rgb="00D03B3B"/>
      </font>
    </dxf>
    <dxf>
      <font>
        <color rgb="000CA30C"/>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
  <sheetViews>
    <sheetView showGridLines="0" workbookViewId="0">
      <selection activeCell="A1" sqref="A1"/>
    </sheetView>
  </sheetViews>
  <sheetFormatPr baseColWidth="8" defaultRowHeight="15"/>
  <cols>
    <col width="4" customWidth="1" min="1" max="1"/>
    <col width="38" customWidth="1" min="2" max="2"/>
    <col width="20" customWidth="1" min="3" max="3"/>
    <col width="46" customWidth="1" min="4" max="4"/>
  </cols>
  <sheetData>
    <row r="1">
      <c r="A1" s="1" t="inlineStr">
        <is>
          <t>SUN SMART · CAPEX/OPEX Summary</t>
        </is>
      </c>
    </row>
    <row r="3">
      <c r="B3" s="2" t="inlineStr">
        <is>
          <t>Currency: Malaysian Ringgit (RM)   |   Single source of truth for all figures: "Key Assumptions" sheet</t>
        </is>
      </c>
    </row>
    <row r="5">
      <c r="B5" s="3" t="inlineStr">
        <is>
          <t>One-off Capital Expenditure (CAPEX)</t>
        </is>
      </c>
    </row>
    <row r="6">
      <c r="B6" t="inlineStr">
        <is>
          <t>CAPEX total (incl. cash reserve)</t>
        </is>
      </c>
      <c r="C6" s="4">
        <f>'CAPEX Startup Capex'!E68</f>
        <v/>
      </c>
    </row>
    <row r="8">
      <c r="B8" s="3" t="inlineStr">
        <is>
          <t>Monthly Operating Expenses (OPEX)</t>
        </is>
      </c>
    </row>
    <row r="9">
      <c r="B9" t="inlineStr">
        <is>
          <t>Monthly OPEX total</t>
        </is>
      </c>
      <c r="C9" s="4">
        <f>'OPEX Monthly Opex'!C55</f>
        <v/>
      </c>
    </row>
    <row r="10">
      <c r="B10" t="inlineStr">
        <is>
          <t>Recommended cash reserve (2.5 months)</t>
        </is>
      </c>
      <c r="C10" s="5">
        <f>'OPEX Monthly Opex'!C56</f>
        <v/>
      </c>
    </row>
    <row r="12">
      <c r="B12" s="3" t="inlineStr">
        <is>
          <t>Total Startup Funding Requirement</t>
        </is>
      </c>
    </row>
    <row r="13">
      <c r="B13" s="6" t="inlineStr">
        <is>
          <t>CAPEX total (already incl. cash reserve)</t>
        </is>
      </c>
      <c r="C13" s="4">
        <f>'CAPEX Startup Capex'!E68</f>
        <v/>
      </c>
    </row>
    <row r="14">
      <c r="B14" t="inlineStr">
        <is>
          <t>vs. RM50,000-100,000 budget range</t>
        </is>
      </c>
      <c r="C14">
        <f>IF(C13&lt;='Key Assumptions'!C4,"Below the lower bound, ample budget",IF(C13&lt;='Key Assumptions'!C5,"Within the budget range","Exceeds the upper bound, adjust assumptions or raise more capital"))</f>
        <v/>
      </c>
    </row>
    <row r="17">
      <c r="B17" s="3" t="inlineStr">
        <is>
          <t>12-Month Forecast Summary</t>
        </is>
      </c>
    </row>
    <row r="18">
      <c r="B18" t="inlineStr">
        <is>
          <t>12-month total revenue</t>
        </is>
      </c>
      <c r="C18" s="5">
        <f>'12-Month Cash Flow Forecast'!N10</f>
        <v/>
      </c>
    </row>
    <row r="19">
      <c r="B19" t="inlineStr">
        <is>
          <t>12-month total net profit</t>
        </is>
      </c>
      <c r="C19" s="5">
        <f>'12-Month Cash Flow Forecast'!N15</f>
        <v/>
      </c>
    </row>
    <row r="20">
      <c r="B20" t="inlineStr">
        <is>
          <t>Cumulative net cash flow at end of Month 12</t>
        </is>
      </c>
      <c r="C20" s="5">
        <f>'12-Month Cash Flow Forecast'!M16</f>
        <v/>
      </c>
    </row>
    <row r="22" ht="30" customHeight="1">
      <c r="B22" s="7" t="inlineStr">
        <is>
          <t>Tip: every yellow input cell lives on the "Key Assumptions", "CAPEX" and "OPEX" sheets. After editing, come back to this Summary page to check you're still within budget.</t>
        </is>
      </c>
    </row>
  </sheetData>
  <mergeCells count="6">
    <mergeCell ref="A1:D1"/>
    <mergeCell ref="B5:C5"/>
    <mergeCell ref="B22:D22"/>
    <mergeCell ref="B17:C17"/>
    <mergeCell ref="B8:C8"/>
    <mergeCell ref="B12:C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showGridLines="0" workbookViewId="0">
      <selection activeCell="A1" sqref="A1"/>
    </sheetView>
  </sheetViews>
  <sheetFormatPr baseColWidth="8" defaultRowHeight="15"/>
  <cols>
    <col width="4" customWidth="1" min="1" max="1"/>
    <col width="100" customWidth="1" min="2" max="2"/>
  </cols>
  <sheetData>
    <row r="1">
      <c r="A1" s="1" t="inlineStr">
        <is>
          <t>SUN SMART · CAPEX / OPEX Financial Model</t>
        </is>
      </c>
    </row>
    <row r="3" ht="40" customHeight="1">
      <c r="B3" s="8" t="inlineStr">
        <is>
          <t>Built from the Project A OS · SUN SMART Master Document V0.7 (Chapters 1-3, 5, 6, 8 and the Decision Log). Fills the gap flagged in the document as "Chapter 6 - Financial Budget - Not yet completed".</t>
        </is>
      </c>
    </row>
    <row r="5" ht="28" customHeight="1">
      <c r="B5" s="8" t="inlineStr">
        <is>
          <t>* Yellow cells: Editable assumptions/inputs. Once you have real quotes, edit these cells and every total recalculates automatically.</t>
        </is>
      </c>
    </row>
    <row r="6" ht="28" customHeight="1">
      <c r="B6" s="8" t="inlineStr">
        <is>
          <t>* White/grey cells: Calculated automatically by formula - do not need to be edited.</t>
        </is>
      </c>
    </row>
    <row r="7" ht="28" customHeight="1">
      <c r="B7" s="8" t="inlineStr">
        <is>
          <t>* CAPEX - Startup Capital Expenditure: One-off costs before opening: deposits, renovation, equipment, initial inventory, setup fees.</t>
        </is>
      </c>
    </row>
    <row r="8" ht="28" customHeight="1">
      <c r="B8" s="8" t="inlineStr">
        <is>
          <t>* OPEX - Monthly Operating Expenses: Recurring monthly costs after opening: rent, salary, utilities, payment fees, etc.</t>
        </is>
      </c>
    </row>
    <row r="9" ht="28" customHeight="1">
      <c r="B9" s="8" t="inlineStr">
        <is>
          <t>* Cash Flow &amp; P&amp;L Forecast: 12-month projection of revenue, gross margin, expenses and net cash flow, including a break-even indicator.</t>
        </is>
      </c>
    </row>
    <row r="10" ht="28" customHeight="1">
      <c r="B10" s="8" t="inlineStr">
        <is>
          <t>* Key Assumptions: All key assumptions (margins, revenue mix, footfall conversion, etc.) in one place; every other sheet references this sheet.</t>
        </is>
      </c>
    </row>
    <row r="12">
      <c r="B12" s="6" t="inlineStr">
        <is>
          <t>How to use this workbook:</t>
        </is>
      </c>
    </row>
    <row r="13" ht="30" customHeight="1">
      <c r="B13" s="8" t="inlineStr">
        <is>
          <t>1. Start by entering any real numbers you already have (rent quotes, supplier prices, etc.) into the "Key Assumptions" sheet. Where you don't have real numbers yet, keep the estimates from the master document.</t>
        </is>
      </c>
    </row>
    <row r="14" ht="30" customHeight="1">
      <c r="B14" s="8" t="inlineStr">
        <is>
          <t>2. "CAPEX - Startup Capital Expenditure" and "OPEX - Monthly Operating Expenses" automatically reference the Key Assumptions sheet, but you can also override individual line items directly on those two sheets.</t>
        </is>
      </c>
    </row>
    <row r="15" ht="30" customHeight="1">
      <c r="B15" s="8" t="inlineStr">
        <is>
          <t>3. "12-Month Cash Flow Forecast" rolls everything up automatically, so you can check whether the RM50,000-100,000 startup budget is enough to survive the "3 consecutive months of profit + positive cash flow" validation bar set in Decision Log #024.</t>
        </is>
      </c>
    </row>
    <row r="16" ht="30" customHeight="1">
      <c r="B16" s="8" t="inlineStr">
        <is>
          <t>4. Whenever you get a new quote (e.g. mall Level B rental, supplier Level B pricing), come back and update the corresponding cell so this stays the single master financial file, in line with Decision Log #026 (Section 10.2) of the master document.</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3"/>
  <sheetViews>
    <sheetView showGridLines="0" workbookViewId="0">
      <selection activeCell="A1" sqref="A1"/>
    </sheetView>
  </sheetViews>
  <sheetFormatPr baseColWidth="8" defaultRowHeight="15"/>
  <cols>
    <col width="3" customWidth="1" min="1" max="1"/>
    <col width="38" customWidth="1" min="2" max="2"/>
    <col width="16" customWidth="1" min="3" max="3"/>
    <col width="46" customWidth="1" min="4" max="4"/>
  </cols>
  <sheetData>
    <row r="1">
      <c r="A1" s="1" t="inlineStr">
        <is>
          <t>Key Assumptions (Yellow = editable; every other sheet references this sheet)</t>
        </is>
      </c>
    </row>
    <row r="3">
      <c r="B3" s="3" t="inlineStr">
        <is>
          <t>Startup Budget &amp; Launch</t>
        </is>
      </c>
    </row>
    <row r="4">
      <c r="B4" s="9" t="inlineStr">
        <is>
          <t>Startup budget - lower bound</t>
        </is>
      </c>
      <c r="C4" s="10" t="n">
        <v>50000</v>
      </c>
      <c r="D4" s="7" t="inlineStr">
        <is>
          <t>Doc §3.5 / Decision Log #018: RM50,000-100,000</t>
        </is>
      </c>
    </row>
    <row r="5">
      <c r="B5" s="9" t="inlineStr">
        <is>
          <t>Startup budget - upper bound</t>
        </is>
      </c>
      <c r="C5" s="10" t="n">
        <v>100000</v>
      </c>
      <c r="D5" s="7" t="inlineStr"/>
    </row>
    <row r="7">
      <c r="B7" s="3" t="inlineStr">
        <is>
          <t>Revenue Mix Assumptions (Doc §2.3 / Decision Log #005)</t>
        </is>
      </c>
    </row>
    <row r="8">
      <c r="B8" s="9" t="inlineStr">
        <is>
          <t>New phone revenue share</t>
        </is>
      </c>
      <c r="C8" s="11" t="n">
        <v>0.45</v>
      </c>
      <c r="D8" s="7" t="inlineStr"/>
    </row>
    <row r="9">
      <c r="B9" s="9" t="inlineStr">
        <is>
          <t>Used phone revenue share</t>
        </is>
      </c>
      <c r="C9" s="11" t="n">
        <v>0.45</v>
      </c>
      <c r="D9" s="7" t="inlineStr"/>
    </row>
    <row r="10">
      <c r="B10" s="9" t="inlineStr">
        <is>
          <t>Accessories revenue share</t>
        </is>
      </c>
      <c r="C10" s="11" t="n">
        <v>0.1</v>
      </c>
      <c r="D10" s="7" t="inlineStr"/>
    </row>
    <row r="12">
      <c r="B12" s="3" t="inlineStr">
        <is>
          <t>Gross Margin Assumptions (Doc §2.4 / Decision Log #006)</t>
        </is>
      </c>
    </row>
    <row r="13">
      <c r="B13" s="9" t="inlineStr">
        <is>
          <t>New phone gross margin</t>
        </is>
      </c>
      <c r="C13" s="11" t="n">
        <v>0.025</v>
      </c>
      <c r="D13" s="7" t="inlineStr">
        <is>
          <t>Doc range 2%-3%, midpoint used</t>
        </is>
      </c>
    </row>
    <row r="14">
      <c r="B14" s="9" t="inlineStr">
        <is>
          <t>Used phone gross margin</t>
        </is>
      </c>
      <c r="C14" s="11" t="n">
        <v>0.25</v>
      </c>
      <c r="D14" s="7" t="inlineStr"/>
    </row>
    <row r="15">
      <c r="B15" s="9" t="inlineStr">
        <is>
          <t>Accessories gross margin</t>
        </is>
      </c>
      <c r="C15" s="11" t="n">
        <v>0.4</v>
      </c>
      <c r="D15" s="7" t="inlineStr">
        <is>
          <t>Doc range 30%-50%, midpoint used, pending supplier quotes</t>
        </is>
      </c>
    </row>
    <row r="17">
      <c r="B17" s="3" t="inlineStr">
        <is>
          <t>Inventory Capital Allocation (Doc §3.6 / Decision Log #008)</t>
        </is>
      </c>
    </row>
    <row r="18">
      <c r="B18" s="9" t="inlineStr">
        <is>
          <t>New phone inventory share</t>
        </is>
      </c>
      <c r="C18" s="11" t="n">
        <v>0.7</v>
      </c>
      <c r="D18" s="7" t="inlineStr"/>
    </row>
    <row r="19">
      <c r="B19" s="9" t="inlineStr">
        <is>
          <t>Used phone inventory share</t>
        </is>
      </c>
      <c r="C19" s="11" t="n">
        <v>0.2</v>
      </c>
      <c r="D19" s="7" t="inlineStr"/>
    </row>
    <row r="20">
      <c r="B20" s="9" t="inlineStr">
        <is>
          <t>Accessories inventory share</t>
        </is>
      </c>
      <c r="C20" s="11" t="n">
        <v>0.1</v>
      </c>
      <c r="D20" s="7" t="inlineStr"/>
    </row>
    <row r="21">
      <c r="B21" s="9" t="inlineStr">
        <is>
          <t>Initial inventory budget total</t>
        </is>
      </c>
      <c r="C21" s="10" t="n">
        <v>35000</v>
      </c>
      <c r="D21" s="7" t="inlineStr">
        <is>
          <t>Recommended to not exceed 50-60% of startup budget; buy in batches, see Doc §3.6.4</t>
        </is>
      </c>
    </row>
    <row r="23">
      <c r="B23" s="3" t="inlineStr">
        <is>
          <t>Sales Volume Assumptions (Month 1 baseline; Month 2+ grows at monthly growth rate)</t>
        </is>
      </c>
    </row>
    <row r="24">
      <c r="B24" s="9" t="inlineStr">
        <is>
          <t>Avg monthly phone units sold</t>
        </is>
      </c>
      <c r="C24" s="12" t="n">
        <v>40</v>
      </c>
      <c r="D24" s="7" t="inlineStr">
        <is>
          <t>Conservative 0-to-1 stage assumption; calibrate with real Month 1 data</t>
        </is>
      </c>
    </row>
    <row r="25">
      <c r="B25" s="9" t="inlineStr">
        <is>
          <t>Avg selling price per phone</t>
        </is>
      </c>
      <c r="C25" s="10" t="n">
        <v>1400</v>
      </c>
      <c r="D25" s="7" t="inlineStr">
        <is>
          <t>Near the midpoint of the doc's RM500-3000 product range</t>
        </is>
      </c>
    </row>
    <row r="26">
      <c r="B26" s="9" t="inlineStr">
        <is>
          <t>Avg monthly accessory orders</t>
        </is>
      </c>
      <c r="C26" s="12" t="n">
        <v>150</v>
      </c>
      <c r="D26" s="7" t="inlineStr"/>
    </row>
    <row r="27">
      <c r="B27" s="9" t="inlineStr">
        <is>
          <t>Avg accessory order value</t>
        </is>
      </c>
      <c r="C27" s="10" t="n">
        <v>45</v>
      </c>
      <c r="D27" s="7" t="inlineStr"/>
    </row>
    <row r="28">
      <c r="B28" s="9" t="inlineStr">
        <is>
          <t>Month-over-month sales growth rate</t>
        </is>
      </c>
      <c r="C28" s="11" t="n">
        <v>0.03</v>
      </c>
      <c r="D28" s="7" t="inlineStr">
        <is>
          <t>Assumes slow growth driven by word-of-mouth and online traffic</t>
        </is>
      </c>
    </row>
    <row r="30">
      <c r="B30" s="3" t="inlineStr">
        <is>
          <t>Payment Channel Mix &amp; Fee Assumptions (Doc §5.6)</t>
        </is>
      </c>
    </row>
    <row r="31">
      <c r="B31" s="9" t="inlineStr">
        <is>
          <t>Cash / bank transfer share</t>
        </is>
      </c>
      <c r="C31" s="11" t="n">
        <v>0.45</v>
      </c>
      <c r="D31" s="7" t="inlineStr">
        <is>
          <t>No fee</t>
        </is>
      </c>
    </row>
    <row r="32">
      <c r="B32" s="9" t="inlineStr">
        <is>
          <t>DuitNow QR share</t>
        </is>
      </c>
      <c r="C32" s="11" t="n">
        <v>0.2</v>
      </c>
      <c r="D32" s="7" t="inlineStr"/>
    </row>
    <row r="33">
      <c r="B33" s="9" t="inlineStr">
        <is>
          <t>Credit card share</t>
        </is>
      </c>
      <c r="C33" s="11" t="n">
        <v>0.15</v>
      </c>
      <c r="D33" s="7" t="inlineStr"/>
    </row>
    <row r="34">
      <c r="B34" s="9" t="inlineStr">
        <is>
          <t>PayLater share</t>
        </is>
      </c>
      <c r="C34" s="11" t="n">
        <v>0.2</v>
      </c>
      <c r="D34" s="7" t="inlineStr">
        <is>
          <t>Doc range 3-6%, upper-middle used</t>
        </is>
      </c>
    </row>
    <row r="35">
      <c r="B35" s="9" t="inlineStr">
        <is>
          <t>DuitNow QR fee rate</t>
        </is>
      </c>
      <c r="C35" s="11" t="n">
        <v>0.01</v>
      </c>
      <c r="D35" s="7" t="inlineStr"/>
    </row>
    <row r="36">
      <c r="B36" s="9" t="inlineStr">
        <is>
          <t>Credit card fee rate</t>
        </is>
      </c>
      <c r="C36" s="11" t="n">
        <v>0.015</v>
      </c>
      <c r="D36" s="7" t="inlineStr"/>
    </row>
    <row r="37">
      <c r="B37" s="9" t="inlineStr">
        <is>
          <t>PayLater fee rate</t>
        </is>
      </c>
      <c r="C37" s="11" t="n">
        <v>0.045</v>
      </c>
      <c r="D37" s="7" t="inlineStr"/>
    </row>
    <row r="39">
      <c r="B39" s="3" t="inlineStr">
        <is>
          <t>Staffing Assumptions (Doc §2.14)</t>
        </is>
      </c>
    </row>
    <row r="40">
      <c r="B40" s="9" t="inlineStr">
        <is>
          <t>Number of staff</t>
        </is>
      </c>
      <c r="C40" s="12" t="n">
        <v>1</v>
      </c>
      <c r="D40" s="7" t="inlineStr">
        <is>
          <t>1 sales staff at launch</t>
        </is>
      </c>
    </row>
    <row r="41">
      <c r="B41" s="9" t="inlineStr">
        <is>
          <t>Staff base salary</t>
        </is>
      </c>
      <c r="C41" s="10" t="n">
        <v>2000</v>
      </c>
      <c r="D41" s="7" t="inlineStr"/>
    </row>
    <row r="42">
      <c r="B42" s="9" t="inlineStr">
        <is>
          <t>Employer EPF SOCSO EIS rate</t>
        </is>
      </c>
      <c r="C42" s="11" t="n">
        <v>0.13</v>
      </c>
      <c r="D42" s="7" t="inlineStr">
        <is>
          <t>Approx. 13%</t>
        </is>
      </c>
    </row>
    <row r="43">
      <c r="B43" s="9" t="inlineStr">
        <is>
          <t>Sales commission pct of gross margin</t>
        </is>
      </c>
      <c r="C43" s="11" t="n">
        <v>0.03</v>
      </c>
      <c r="D43" s="7" t="inlineStr">
        <is>
          <t>Assumed value, to be agreed with staff separately</t>
        </is>
      </c>
    </row>
  </sheetData>
  <mergeCells count="8">
    <mergeCell ref="A1:D1"/>
    <mergeCell ref="B3:D3"/>
    <mergeCell ref="B23:D23"/>
    <mergeCell ref="B17:D17"/>
    <mergeCell ref="B30:D30"/>
    <mergeCell ref="B39:D39"/>
    <mergeCell ref="B12:D12"/>
    <mergeCell ref="B7:D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0"/>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3" customWidth="1" min="1" max="1"/>
    <col width="38" customWidth="1" min="2" max="2"/>
    <col width="14" customWidth="1" min="3" max="3"/>
    <col width="14" customWidth="1" min="4" max="4"/>
    <col width="14" customWidth="1" min="5" max="5"/>
    <col width="46" customWidth="1" min="6" max="6"/>
  </cols>
  <sheetData>
    <row r="1">
      <c r="A1" s="1" t="inlineStr">
        <is>
          <t>CAPEX · Startup Capital Expenditure (maps to Doc Chapter 3 Checklist)</t>
        </is>
      </c>
    </row>
    <row r="3">
      <c r="B3" s="3" t="inlineStr">
        <is>
          <t>1. Mall Lease - One-off Costs (Doc §3.4)</t>
        </is>
      </c>
    </row>
    <row r="4">
      <c r="B4" s="13" t="inlineStr">
        <is>
          <t>Item</t>
        </is>
      </c>
      <c r="C4" s="13" t="inlineStr">
        <is>
          <t>Qty</t>
        </is>
      </c>
      <c r="D4" s="13" t="inlineStr">
        <is>
          <t>Unit Cost (RM)</t>
        </is>
      </c>
      <c r="E4" s="13" t="inlineStr">
        <is>
          <t>Subtotal (RM)</t>
        </is>
      </c>
      <c r="F4" s="13" t="inlineStr">
        <is>
          <t>Note</t>
        </is>
      </c>
    </row>
    <row r="5">
      <c r="B5" s="9" t="inlineStr">
        <is>
          <t>Rental deposit (typically 2-3 months' rent)</t>
        </is>
      </c>
      <c r="C5" s="12" t="n">
        <v>1</v>
      </c>
      <c r="D5" s="10" t="n">
        <v>6000</v>
      </c>
      <c r="E5" s="14">
        <f>C5*D5</f>
        <v/>
      </c>
      <c r="F5" s="7" t="inlineStr">
        <is>
          <t>Pending mall Level B quote, see Doc §7.6 questions checklist</t>
        </is>
      </c>
    </row>
    <row r="6">
      <c r="B6" s="9" t="inlineStr">
        <is>
          <t>Utilities deposit</t>
        </is>
      </c>
      <c r="C6" s="12" t="n">
        <v>1</v>
      </c>
      <c r="D6" s="10" t="n">
        <v>500</v>
      </c>
      <c r="E6" s="14">
        <f>C6*D6</f>
        <v/>
      </c>
      <c r="F6" s="7" t="inlineStr"/>
    </row>
    <row r="7">
      <c r="B7" s="9" t="inlineStr">
        <is>
          <t>Renovation deposit</t>
        </is>
      </c>
      <c r="C7" s="12" t="n">
        <v>1</v>
      </c>
      <c r="D7" s="10" t="n">
        <v>1000</v>
      </c>
      <c r="E7" s="14">
        <f>C7*D7</f>
        <v/>
      </c>
      <c r="F7" s="7" t="inlineStr"/>
    </row>
    <row r="8">
      <c r="B8" s="9" t="inlineStr">
        <is>
          <t>Signboard application / drawing approval fee</t>
        </is>
      </c>
      <c r="C8" s="12" t="n">
        <v>1</v>
      </c>
      <c r="D8" s="10" t="n">
        <v>800</v>
      </c>
      <c r="E8" s="14">
        <f>C8*D8</f>
        <v/>
      </c>
      <c r="F8" s="7" t="inlineStr"/>
    </row>
    <row r="9">
      <c r="B9" s="9" t="inlineStr">
        <is>
          <t>Legal fee / stamp duty (tenancy agreement)</t>
        </is>
      </c>
      <c r="C9" s="12" t="n">
        <v>1</v>
      </c>
      <c r="D9" s="10" t="n">
        <v>500</v>
      </c>
      <c r="E9" s="14">
        <f>C9*D9</f>
        <v/>
      </c>
      <c r="F9" s="7" t="inlineStr"/>
    </row>
    <row r="10">
      <c r="B10" s="15" t="inlineStr">
        <is>
          <t>Subtotal: 1. Mall Lease - One-off Costs (Doc §3.4)</t>
        </is>
      </c>
      <c r="C10" s="16" t="n"/>
      <c r="D10" s="16" t="n"/>
      <c r="E10" s="17">
        <f>SUM(E5:E9)</f>
        <v/>
      </c>
    </row>
    <row r="12">
      <c r="B12" s="3" t="inlineStr">
        <is>
          <t>2. Renovation (Doc §3.8)</t>
        </is>
      </c>
    </row>
    <row r="13">
      <c r="B13" s="13" t="inlineStr">
        <is>
          <t>Item</t>
        </is>
      </c>
      <c r="C13" s="13" t="inlineStr">
        <is>
          <t>Qty</t>
        </is>
      </c>
      <c r="D13" s="13" t="inlineStr">
        <is>
          <t>Unit Cost (RM)</t>
        </is>
      </c>
      <c r="E13" s="13" t="inlineStr">
        <is>
          <t>Subtotal (RM)</t>
        </is>
      </c>
      <c r="F13" s="13" t="inlineStr">
        <is>
          <t>Note</t>
        </is>
      </c>
    </row>
    <row r="14">
      <c r="B14" s="9" t="inlineStr">
        <is>
          <t>Display cabinets (movable / reusable)</t>
        </is>
      </c>
      <c r="C14" s="12" t="n">
        <v>3</v>
      </c>
      <c r="D14" s="10" t="n">
        <v>800</v>
      </c>
      <c r="E14" s="14">
        <f>C14*D14</f>
        <v/>
      </c>
      <c r="F14" s="7" t="inlineStr">
        <is>
          <t>Doc emphasises movable, reusable fixtures for future relocation</t>
        </is>
      </c>
    </row>
    <row r="15">
      <c r="B15" s="9" t="inlineStr">
        <is>
          <t>Counter / cashier station</t>
        </is>
      </c>
      <c r="C15" s="12" t="n">
        <v>1</v>
      </c>
      <c r="D15" s="10" t="n">
        <v>1200</v>
      </c>
      <c r="E15" s="14">
        <f>C15*D15</f>
        <v/>
      </c>
      <c r="F15" s="7" t="inlineStr"/>
    </row>
    <row r="16">
      <c r="B16" s="9" t="inlineStr">
        <is>
          <t>Signboard production &amp; installation</t>
        </is>
      </c>
      <c r="C16" s="12" t="n">
        <v>1</v>
      </c>
      <c r="D16" s="10" t="n">
        <v>2500</v>
      </c>
      <c r="E16" s="14">
        <f>C16*D16</f>
        <v/>
      </c>
      <c r="F16" s="7" t="inlineStr"/>
    </row>
    <row r="17">
      <c r="B17" s="9" t="inlineStr">
        <is>
          <t>Lighting works</t>
        </is>
      </c>
      <c r="C17" s="12" t="n">
        <v>1</v>
      </c>
      <c r="D17" s="10" t="n">
        <v>1000</v>
      </c>
      <c r="E17" s="14">
        <f>C17*D17</f>
        <v/>
      </c>
      <c r="F17" s="7" t="inlineStr"/>
    </row>
    <row r="18">
      <c r="B18" s="9" t="inlineStr">
        <is>
          <t>Power / network wiring</t>
        </is>
      </c>
      <c r="C18" s="12" t="n">
        <v>1</v>
      </c>
      <c r="D18" s="10" t="n">
        <v>800</v>
      </c>
      <c r="E18" s="14">
        <f>C18*D18</f>
        <v/>
      </c>
      <c r="F18" s="7" t="inlineStr"/>
    </row>
    <row r="19">
      <c r="B19" s="9" t="inlineStr">
        <is>
          <t>Basic paint and flooring touch-up</t>
        </is>
      </c>
      <c r="C19" s="12" t="n">
        <v>1</v>
      </c>
      <c r="D19" s="10" t="n">
        <v>1500</v>
      </c>
      <c r="E19" s="14">
        <f>C19*D19</f>
        <v/>
      </c>
      <c r="F19" s="7" t="inlineStr"/>
    </row>
    <row r="20">
      <c r="B20" s="9" t="inlineStr">
        <is>
          <t>Renovation - other misc</t>
        </is>
      </c>
      <c r="C20" s="12" t="n">
        <v>1</v>
      </c>
      <c r="D20" s="10" t="n">
        <v>1000</v>
      </c>
      <c r="E20" s="14">
        <f>C20*D20</f>
        <v/>
      </c>
      <c r="F20" s="7" t="inlineStr"/>
    </row>
    <row r="21">
      <c r="B21" s="15" t="inlineStr">
        <is>
          <t>Subtotal: 2. Renovation (Doc §3.8)</t>
        </is>
      </c>
      <c r="C21" s="16" t="n"/>
      <c r="D21" s="16" t="n"/>
      <c r="E21" s="17">
        <f>SUM(E14:E20)</f>
        <v/>
      </c>
    </row>
    <row r="23">
      <c r="B23" s="3" t="inlineStr">
        <is>
          <t>3. Shop Equipment (Doc §3.9)</t>
        </is>
      </c>
    </row>
    <row r="24">
      <c r="B24" s="13" t="inlineStr">
        <is>
          <t>Item</t>
        </is>
      </c>
      <c r="C24" s="13" t="inlineStr">
        <is>
          <t>Qty</t>
        </is>
      </c>
      <c r="D24" s="13" t="inlineStr">
        <is>
          <t>Unit Cost (RM)</t>
        </is>
      </c>
      <c r="E24" s="13" t="inlineStr">
        <is>
          <t>Subtotal (RM)</t>
        </is>
      </c>
      <c r="F24" s="13" t="inlineStr">
        <is>
          <t>Note</t>
        </is>
      </c>
    </row>
    <row r="25">
      <c r="B25" s="9" t="inlineStr">
        <is>
          <t>CCTV system</t>
        </is>
      </c>
      <c r="C25" s="12" t="n">
        <v>1</v>
      </c>
      <c r="D25" s="10" t="n">
        <v>900</v>
      </c>
      <c r="E25" s="14">
        <f>C25*D25</f>
        <v/>
      </c>
      <c r="F25" s="7" t="inlineStr"/>
    </row>
    <row r="26">
      <c r="B26" s="9" t="inlineStr">
        <is>
          <t>Computer / laptop</t>
        </is>
      </c>
      <c r="C26" s="12" t="n">
        <v>1</v>
      </c>
      <c r="D26" s="10" t="n">
        <v>2200</v>
      </c>
      <c r="E26" s="14">
        <f>C26*D26</f>
        <v/>
      </c>
      <c r="F26" s="7" t="inlineStr"/>
    </row>
    <row r="27">
      <c r="B27" s="9" t="inlineStr">
        <is>
          <t>Printer</t>
        </is>
      </c>
      <c r="C27" s="12" t="n">
        <v>1</v>
      </c>
      <c r="D27" s="10" t="n">
        <v>400</v>
      </c>
      <c r="E27" s="14">
        <f>C27*D27</f>
        <v/>
      </c>
      <c r="F27" s="7" t="inlineStr"/>
    </row>
    <row r="28">
      <c r="B28" s="9" t="inlineStr">
        <is>
          <t>Cash drawer</t>
        </is>
      </c>
      <c r="C28" s="12" t="n">
        <v>1</v>
      </c>
      <c r="D28" s="10" t="n">
        <v>250</v>
      </c>
      <c r="E28" s="14">
        <f>C28*D28</f>
        <v/>
      </c>
      <c r="F28" s="7" t="inlineStr"/>
    </row>
    <row r="29">
      <c r="B29" s="9" t="inlineStr">
        <is>
          <t>Wi-Fi router</t>
        </is>
      </c>
      <c r="C29" s="12" t="n">
        <v>1</v>
      </c>
      <c r="D29" s="10" t="n">
        <v>200</v>
      </c>
      <c r="E29" s="14">
        <f>C29*D29</f>
        <v/>
      </c>
      <c r="F29" s="7" t="inlineStr"/>
    </row>
    <row r="30">
      <c r="B30" s="9" t="inlineStr">
        <is>
          <t>POS / barcode scanner (if adopted)</t>
        </is>
      </c>
      <c r="C30" s="12" t="n">
        <v>1</v>
      </c>
      <c r="D30" s="10" t="n">
        <v>600</v>
      </c>
      <c r="E30" s="14">
        <f>C30*D30</f>
        <v/>
      </c>
      <c r="F30" s="7" t="inlineStr">
        <is>
          <t>Doc §4.4: Phase 1 uses Google Sheets, POS deferred - can be 0</t>
        </is>
      </c>
    </row>
    <row r="31">
      <c r="B31" s="9" t="inlineStr">
        <is>
          <t>Anti-theft display stand / small safe</t>
        </is>
      </c>
      <c r="C31" s="12" t="n">
        <v>1</v>
      </c>
      <c r="D31" s="10" t="n">
        <v>500</v>
      </c>
      <c r="E31" s="14">
        <f>C31*D31</f>
        <v/>
      </c>
      <c r="F31" s="7" t="inlineStr"/>
    </row>
    <row r="32">
      <c r="B32" s="9" t="inlineStr">
        <is>
          <t>Fire extinguisher / UPS / other safety equipment</t>
        </is>
      </c>
      <c r="C32" s="12" t="n">
        <v>1</v>
      </c>
      <c r="D32" s="10" t="n">
        <v>300</v>
      </c>
      <c r="E32" s="14">
        <f>C32*D32</f>
        <v/>
      </c>
      <c r="F32" s="7" t="inlineStr"/>
    </row>
    <row r="33">
      <c r="B33" s="9" t="inlineStr">
        <is>
          <t>Packaging bags / receipt books / label printer, etc.</t>
        </is>
      </c>
      <c r="C33" s="12" t="n">
        <v>1</v>
      </c>
      <c r="D33" s="10" t="n">
        <v>500</v>
      </c>
      <c r="E33" s="14">
        <f>C33*D33</f>
        <v/>
      </c>
      <c r="F33" s="7" t="inlineStr"/>
    </row>
    <row r="34">
      <c r="B34" s="15" t="inlineStr">
        <is>
          <t>Subtotal: 3. Shop Equipment (Doc §3.9)</t>
        </is>
      </c>
      <c r="C34" s="16" t="n"/>
      <c r="D34" s="16" t="n"/>
      <c r="E34" s="17">
        <f>SUM(E25:E33)</f>
        <v/>
      </c>
    </row>
    <row r="36">
      <c r="B36" s="3" t="inlineStr">
        <is>
          <t>4. Payments &amp; Systems Setup (Doc §3.10, 5.6)</t>
        </is>
      </c>
    </row>
    <row r="37">
      <c r="B37" s="13" t="inlineStr">
        <is>
          <t>Item</t>
        </is>
      </c>
      <c r="C37" s="13" t="inlineStr">
        <is>
          <t>Qty</t>
        </is>
      </c>
      <c r="D37" s="13" t="inlineStr">
        <is>
          <t>Unit Cost (RM)</t>
        </is>
      </c>
      <c r="E37" s="13" t="inlineStr">
        <is>
          <t>Subtotal (RM)</t>
        </is>
      </c>
      <c r="F37" s="13" t="inlineStr">
        <is>
          <t>Note</t>
        </is>
      </c>
    </row>
    <row r="38">
      <c r="B38" s="9" t="inlineStr">
        <is>
          <t>DuitNow QR application / activation fee</t>
        </is>
      </c>
      <c r="C38" s="12" t="n">
        <v>1</v>
      </c>
      <c r="D38" s="10" t="n">
        <v>0</v>
      </c>
      <c r="E38" s="14">
        <f>C38*D38</f>
        <v/>
      </c>
      <c r="F38" s="7" t="inlineStr">
        <is>
          <t>Usually free, pending Level B confirmation</t>
        </is>
      </c>
    </row>
    <row r="39">
      <c r="B39" s="9" t="inlineStr">
        <is>
          <t>Credit card terminal setup fee</t>
        </is>
      </c>
      <c r="C39" s="12" t="n">
        <v>1</v>
      </c>
      <c r="D39" s="10" t="n">
        <v>300</v>
      </c>
      <c r="E39" s="14">
        <f>C39*D39</f>
        <v/>
      </c>
      <c r="F39" s="7" t="inlineStr">
        <is>
          <t>Pending HitPay / Revenue Monster quotes, see Doc §5.8</t>
        </is>
      </c>
    </row>
    <row r="40">
      <c r="B40" s="9" t="inlineStr">
        <is>
          <t>PayLater platform setup fee</t>
        </is>
      </c>
      <c r="C40" s="12" t="n">
        <v>1</v>
      </c>
      <c r="D40" s="10" t="n">
        <v>300</v>
      </c>
      <c r="E40" s="14">
        <f>C40*D40</f>
        <v/>
      </c>
      <c r="F40" s="7" t="inlineStr"/>
    </row>
    <row r="41">
      <c r="B41" s="9" t="inlineStr">
        <is>
          <t>WhatsApp Business setup (labour time, can be 0 if no cash cost)</t>
        </is>
      </c>
      <c r="C41" s="12" t="n">
        <v>1</v>
      </c>
      <c r="D41" s="10" t="n">
        <v>0</v>
      </c>
      <c r="E41" s="14">
        <f>C41*D41</f>
        <v/>
      </c>
      <c r="F41" s="7" t="inlineStr"/>
    </row>
    <row r="42">
      <c r="B42" s="9" t="inlineStr">
        <is>
          <t>Website build cost</t>
        </is>
      </c>
      <c r="C42" s="12" t="n">
        <v>1</v>
      </c>
      <c r="D42" s="10" t="n">
        <v>3000</v>
      </c>
      <c r="E42" s="14">
        <f>C42*D42</f>
        <v/>
      </c>
      <c r="F42" s="7" t="inlineStr">
        <is>
          <t>Doc §3.11.2: if online payment can't be ready in time, use WhatsApp ordering first</t>
        </is>
      </c>
    </row>
    <row r="43">
      <c r="B43" s="15" t="inlineStr">
        <is>
          <t>Subtotal: 4. Payments &amp; Systems Setup (Doc §3.10, 5.6)</t>
        </is>
      </c>
      <c r="C43" s="16" t="n"/>
      <c r="D43" s="16" t="n"/>
      <c r="E43" s="17">
        <f>SUM(E38:E42)</f>
        <v/>
      </c>
    </row>
    <row r="45">
      <c r="B45" s="3" t="inlineStr">
        <is>
          <t>5. Company &amp; Compliance Setup (mirrors the not-yet-completed Chapter 9 - Legal &amp; Documentation)</t>
        </is>
      </c>
    </row>
    <row r="46">
      <c r="B46" s="13" t="inlineStr">
        <is>
          <t>Item</t>
        </is>
      </c>
      <c r="C46" s="13" t="inlineStr">
        <is>
          <t>Qty</t>
        </is>
      </c>
      <c r="D46" s="13" t="inlineStr">
        <is>
          <t>Unit Cost (RM)</t>
        </is>
      </c>
      <c r="E46" s="13" t="inlineStr">
        <is>
          <t>Subtotal (RM)</t>
        </is>
      </c>
      <c r="F46" s="13" t="inlineStr">
        <is>
          <t>Note</t>
        </is>
      </c>
    </row>
    <row r="47">
      <c r="B47" s="9" t="inlineStr">
        <is>
          <t>SSM annual fee / filing (if renewal due)</t>
        </is>
      </c>
      <c r="C47" s="12" t="n">
        <v>1</v>
      </c>
      <c r="D47" s="10" t="n">
        <v>300</v>
      </c>
      <c r="E47" s="14">
        <f>C47*D47</f>
        <v/>
      </c>
      <c r="F47" s="7" t="inlineStr">
        <is>
          <t>Doc §3.2: SSM registration already done; this is an ongoing annual maintenance reminder</t>
        </is>
      </c>
    </row>
    <row r="48">
      <c r="B48" s="9" t="inlineStr">
        <is>
          <t>Business Premise License</t>
        </is>
      </c>
      <c r="C48" s="12" t="n">
        <v>1</v>
      </c>
      <c r="D48" s="10" t="n">
        <v>500</v>
      </c>
      <c r="E48" s="14">
        <f>C48*D48</f>
        <v/>
      </c>
      <c r="F48" s="7" t="inlineStr">
        <is>
          <t>Local council licence, fee depends on shop location</t>
        </is>
      </c>
    </row>
    <row r="49">
      <c r="B49" s="9" t="inlineStr">
        <is>
          <t>Signboard License</t>
        </is>
      </c>
      <c r="C49" s="12" t="n">
        <v>1</v>
      </c>
      <c r="D49" s="10" t="n">
        <v>300</v>
      </c>
      <c r="E49" s="14">
        <f>C49*D49</f>
        <v/>
      </c>
      <c r="F49" s="7" t="inlineStr"/>
    </row>
    <row r="50">
      <c r="B50" s="9" t="inlineStr">
        <is>
          <t>Initial legal / contract review (tenancy, partnership agreement)</t>
        </is>
      </c>
      <c r="C50" s="12" t="n">
        <v>1</v>
      </c>
      <c r="D50" s="10" t="n">
        <v>1500</v>
      </c>
      <c r="E50" s="14">
        <f>C50*D50</f>
        <v/>
      </c>
      <c r="F50" s="7" t="inlineStr">
        <is>
          <t>Maps to Doc §2.15 written partner agreement and the Chapter 9 legal gap</t>
        </is>
      </c>
    </row>
    <row r="51">
      <c r="B51" s="9" t="inlineStr">
        <is>
          <t>First-year insurance premium (if purchased)</t>
        </is>
      </c>
      <c r="C51" s="12" t="n">
        <v>1</v>
      </c>
      <c r="D51" s="10" t="n">
        <v>0</v>
      </c>
      <c r="E51" s="14">
        <f>C51*D51</f>
        <v/>
      </c>
      <c r="F51" s="7" t="inlineStr">
        <is>
          <t>Doc §3.14: not purchasing immediately, research first; fill in once decided</t>
        </is>
      </c>
    </row>
    <row r="52">
      <c r="B52" s="15" t="inlineStr">
        <is>
          <t>Subtotal: 5. Company &amp; Compliance Setup (mirrors the not-yet-completed Chapter 9 - Legal &amp; Documentation)</t>
        </is>
      </c>
      <c r="C52" s="16" t="n"/>
      <c r="D52" s="16" t="n"/>
      <c r="E52" s="17">
        <f>SUM(E47:E51)</f>
        <v/>
      </c>
    </row>
    <row r="54">
      <c r="B54" s="3" t="inlineStr">
        <is>
          <t>6. Initial Inventory (Doc §3.6 / Decision Log #008, auto-calculated on the 70/20/10 split)</t>
        </is>
      </c>
    </row>
    <row r="55">
      <c r="B55" s="13" t="inlineStr">
        <is>
          <t>Item</t>
        </is>
      </c>
      <c r="C55" s="13" t="inlineStr">
        <is>
          <t>Qty</t>
        </is>
      </c>
      <c r="D55" s="13" t="inlineStr">
        <is>
          <t>Unit Cost (RM)</t>
        </is>
      </c>
      <c r="E55" s="13" t="inlineStr">
        <is>
          <t>Subtotal (RM)</t>
        </is>
      </c>
      <c r="F55" s="13" t="inlineStr">
        <is>
          <t>Note</t>
        </is>
      </c>
    </row>
    <row r="56">
      <c r="B56" s="9" t="inlineStr">
        <is>
          <t>New phone initial inventory</t>
        </is>
      </c>
      <c r="C56" s="9" t="n"/>
      <c r="D56" s="9" t="n"/>
      <c r="E56" s="14">
        <f>'Key Assumptions'!C21*'Key Assumptions'!C18</f>
        <v/>
      </c>
      <c r="F56" s="7" t="inlineStr">
        <is>
          <t>Formula: initial inventory budget x new phone share (Key Assumptions sheet)</t>
        </is>
      </c>
    </row>
    <row r="57">
      <c r="B57" s="9" t="inlineStr">
        <is>
          <t>Used phone initial inventory</t>
        </is>
      </c>
      <c r="C57" s="9" t="n"/>
      <c r="D57" s="9" t="n"/>
      <c r="E57" s="14">
        <f>'Key Assumptions'!C21*'Key Assumptions'!C19</f>
        <v/>
      </c>
      <c r="F57" s="7" t="inlineStr">
        <is>
          <t>Formula: initial inventory budget x used phone share</t>
        </is>
      </c>
    </row>
    <row r="58">
      <c r="B58" s="9" t="inlineStr">
        <is>
          <t>Accessories initial inventory</t>
        </is>
      </c>
      <c r="C58" s="9" t="n"/>
      <c r="D58" s="9" t="n"/>
      <c r="E58" s="14">
        <f>'Key Assumptions'!C21*'Key Assumptions'!C20</f>
        <v/>
      </c>
      <c r="F58" s="7" t="inlineStr">
        <is>
          <t>Formula: initial inventory budget x accessories share</t>
        </is>
      </c>
    </row>
    <row r="59">
      <c r="B59" s="15" t="inlineStr">
        <is>
          <t>Subtotal: 6. Initial Inventory (Doc §3.6 / Decision Log #008, auto-calculated on the 70/20/10 split)</t>
        </is>
      </c>
      <c r="C59" s="16" t="n"/>
      <c r="D59" s="16" t="n"/>
      <c r="E59" s="17">
        <f>SUM(E56:E58)</f>
        <v/>
      </c>
    </row>
    <row r="61">
      <c r="B61" s="3" t="inlineStr">
        <is>
          <t>7. Cash Flow Reserve (Doc §3.5 cash-flow-first principle / Decision Log #018)</t>
        </is>
      </c>
    </row>
    <row r="62">
      <c r="B62" s="13" t="inlineStr">
        <is>
          <t>Item</t>
        </is>
      </c>
      <c r="C62" s="13" t="inlineStr">
        <is>
          <t>Qty</t>
        </is>
      </c>
      <c r="D62" s="13" t="inlineStr">
        <is>
          <t>Unit Cost (RM)</t>
        </is>
      </c>
      <c r="E62" s="13" t="inlineStr">
        <is>
          <t>Subtotal (RM)</t>
        </is>
      </c>
      <c r="F62" s="13" t="inlineStr">
        <is>
          <t>Note</t>
        </is>
      </c>
    </row>
    <row r="63">
      <c r="B63" s="9" t="inlineStr">
        <is>
          <t>Emergency / operating cash reserve (auto-linked to the OPEX sheet's recommendation, see note)</t>
        </is>
      </c>
      <c r="C63" s="12" t="n">
        <v>1</v>
      </c>
      <c r="D63" s="10" t="n">
        <v>0</v>
      </c>
      <c r="E63" s="14">
        <f>C63*D63</f>
        <v/>
      </c>
      <c r="F63" s="7" t="inlineStr">
        <is>
          <t>Do not spend the entire budget by opening day; this line becomes a formula once the OPEX sheet exists</t>
        </is>
      </c>
    </row>
    <row r="64">
      <c r="B64" s="15" t="inlineStr">
        <is>
          <t>Subtotal: 7. Cash Flow Reserve (Doc §3.5 cash-flow-first principle / Decision Log #018)</t>
        </is>
      </c>
      <c r="C64" s="16" t="n"/>
      <c r="D64" s="16" t="n"/>
      <c r="E64" s="17">
        <f>'OPEX Monthly Opex'!C56</f>
        <v/>
      </c>
    </row>
    <row r="67">
      <c r="B67" s="3" t="inlineStr">
        <is>
          <t>CAPEX Grand Total</t>
        </is>
      </c>
    </row>
    <row r="68">
      <c r="B68" s="18" t="inlineStr">
        <is>
          <t>CAPEX Grand Total (incl. cash reserve)</t>
        </is>
      </c>
      <c r="E68" s="19">
        <f>E10+E21+E34+E43+E52+E59+E64</f>
        <v/>
      </c>
    </row>
    <row r="69">
      <c r="B69" s="20" t="inlineStr">
        <is>
          <t>vs. startup budget lower bound</t>
        </is>
      </c>
      <c r="E69" s="21">
        <f>'Key Assumptions'!C4-E68</f>
        <v/>
      </c>
    </row>
    <row r="70">
      <c r="B70" s="20" t="inlineStr">
        <is>
          <t>vs. startup budget upper bound</t>
        </is>
      </c>
      <c r="E70" s="21">
        <f>'Key Assumptions'!C5-E68</f>
        <v/>
      </c>
    </row>
  </sheetData>
  <mergeCells count="9">
    <mergeCell ref="B12:F12"/>
    <mergeCell ref="B54:F54"/>
    <mergeCell ref="A1:F1"/>
    <mergeCell ref="B3:F3"/>
    <mergeCell ref="B67:F67"/>
    <mergeCell ref="B45:F45"/>
    <mergeCell ref="B23:F23"/>
    <mergeCell ref="B61:F61"/>
    <mergeCell ref="B36:F3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6"/>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3" customWidth="1" min="1" max="1"/>
    <col width="38" customWidth="1" min="2" max="2"/>
    <col width="14" customWidth="1" min="3" max="3"/>
    <col width="46" customWidth="1" min="4" max="4"/>
  </cols>
  <sheetData>
    <row r="1">
      <c r="A1" s="1" t="inlineStr">
        <is>
          <t>OPEX · Monthly Operating Expenses (maps to Doc §2.16 core cost structure)</t>
        </is>
      </c>
    </row>
    <row r="3">
      <c r="B3" s="3" t="inlineStr">
        <is>
          <t>1. Premises (Doc §3.4)</t>
        </is>
      </c>
    </row>
    <row r="4">
      <c r="B4" s="13" t="inlineStr">
        <is>
          <t>Item</t>
        </is>
      </c>
      <c r="C4" s="13" t="inlineStr">
        <is>
          <t>Monthly Amount (RM)</t>
        </is>
      </c>
      <c r="D4" s="13" t="inlineStr">
        <is>
          <t>Note</t>
        </is>
      </c>
    </row>
    <row r="5">
      <c r="B5" s="9" t="inlineStr">
        <is>
          <t>Base mall rent</t>
        </is>
      </c>
      <c r="C5" s="22" t="n">
        <v>3500</v>
      </c>
      <c r="D5" s="7" t="inlineStr">
        <is>
          <t>Pending mall Level B quote, see Doc §7.9 contact list</t>
        </is>
      </c>
    </row>
    <row r="6">
      <c r="B6" s="9" t="inlineStr">
        <is>
          <t>Management / promotion fee</t>
        </is>
      </c>
      <c r="C6" s="22" t="n">
        <v>400</v>
      </c>
      <c r="D6" s="7" t="inlineStr"/>
    </row>
    <row r="7">
      <c r="B7" s="9" t="inlineStr">
        <is>
          <t>Utilities (electricity/water)</t>
        </is>
      </c>
      <c r="C7" s="22" t="n">
        <v>500</v>
      </c>
      <c r="D7" s="7" t="inlineStr"/>
    </row>
    <row r="8">
      <c r="B8" s="9" t="inlineStr">
        <is>
          <t>Air-conditioning charge (if billed separately)</t>
        </is>
      </c>
      <c r="C8" s="22" t="n">
        <v>200</v>
      </c>
      <c r="D8" s="7" t="inlineStr"/>
    </row>
    <row r="9">
      <c r="B9" s="9" t="inlineStr">
        <is>
          <t>Internet / telecom</t>
        </is>
      </c>
      <c r="C9" s="22" t="n">
        <v>150</v>
      </c>
      <c r="D9" s="7" t="inlineStr"/>
    </row>
    <row r="10">
      <c r="B10" s="9" t="inlineStr">
        <is>
          <t>Refuse collection / other misc fees</t>
        </is>
      </c>
      <c r="C10" s="22" t="n">
        <v>100</v>
      </c>
      <c r="D10" s="7" t="inlineStr"/>
    </row>
    <row r="11">
      <c r="B11" s="15" t="inlineStr">
        <is>
          <t>Subtotal: 1. Premises (Doc §3.4)</t>
        </is>
      </c>
      <c r="C11" s="17">
        <f>SUM(C5:C10)</f>
        <v/>
      </c>
    </row>
    <row r="13">
      <c r="B13" s="3" t="inlineStr">
        <is>
          <t>2. Staffing Costs (Doc §2.16 / auto-linked to Key Assumptions)</t>
        </is>
      </c>
    </row>
    <row r="14">
      <c r="B14" s="13" t="inlineStr">
        <is>
          <t>Item</t>
        </is>
      </c>
      <c r="C14" s="13" t="inlineStr">
        <is>
          <t>Monthly Amount (RM)</t>
        </is>
      </c>
      <c r="D14" s="13" t="inlineStr">
        <is>
          <t>Note</t>
        </is>
      </c>
    </row>
    <row r="15">
      <c r="B15" s="9" t="inlineStr">
        <is>
          <t>Staff base salary</t>
        </is>
      </c>
      <c r="C15" s="14">
        <f>'Key Assumptions'!C41</f>
        <v/>
      </c>
      <c r="D15" s="7" t="inlineStr">
        <is>
          <t>Linked to Key Assumptions - staff base salary</t>
        </is>
      </c>
    </row>
    <row r="16">
      <c r="B16" s="9" t="inlineStr">
        <is>
          <t>EPF/SOCSO/EIS employer portion</t>
        </is>
      </c>
      <c r="C16" s="14">
        <f>'Key Assumptions'!C41*'Key Assumptions'!C42</f>
        <v/>
      </c>
      <c r="D16" s="7" t="inlineStr">
        <is>
          <t>Formula: salary x employer contribution rate</t>
        </is>
      </c>
    </row>
    <row r="17">
      <c r="B17" s="9" t="inlineStr">
        <is>
          <t>Sales commission (estimate; actual linked to gross margin in forecast sheet)</t>
        </is>
      </c>
      <c r="C17" s="22" t="n">
        <v>300</v>
      </c>
      <c r="D17" s="7" t="inlineStr">
        <is>
          <t>Initial estimate, calibrate with first month's actual gross margin</t>
        </is>
      </c>
    </row>
    <row r="18">
      <c r="B18" s="15" t="inlineStr">
        <is>
          <t>Subtotal: 2. Staffing Costs (Doc §2.16 / auto-linked to Key Assumptions)</t>
        </is>
      </c>
      <c r="C18" s="17">
        <f>SUM(C15:C17)</f>
        <v/>
      </c>
    </row>
    <row r="20">
      <c r="B20" s="3" t="inlineStr">
        <is>
          <t>3. Payment Channel Fees (variable cost, auto-calculated from revenue)</t>
        </is>
      </c>
    </row>
    <row r="21">
      <c r="B21" s="13" t="inlineStr">
        <is>
          <t>Item</t>
        </is>
      </c>
      <c r="C21" s="13" t="inlineStr">
        <is>
          <t>Monthly Amount (RM)</t>
        </is>
      </c>
      <c r="D21" s="13" t="inlineStr">
        <is>
          <t>Note</t>
        </is>
      </c>
    </row>
    <row r="22">
      <c r="B22" s="9" t="inlineStr">
        <is>
          <t>Note: fees are a variable cost, already auto-calculated by channel mix and fee rate in "12-Month Cash Flow Forecast"; kept at 0 here to avoid double-counting</t>
        </is>
      </c>
      <c r="C22" s="22" t="n">
        <v>0</v>
      </c>
      <c r="D22" s="7" t="inlineStr">
        <is>
          <t>See the "12-Month Cash Flow Forecast" sheet for the monthly fee amount</t>
        </is>
      </c>
    </row>
    <row r="23">
      <c r="B23" s="15" t="inlineStr">
        <is>
          <t>Subtotal: 3. Payment Channel Fees (variable cost, auto-calculated from revenue)</t>
        </is>
      </c>
      <c r="C23" s="17">
        <f>SUM(C22:C22)</f>
        <v/>
      </c>
    </row>
    <row r="25">
      <c r="B25" s="3" t="inlineStr">
        <is>
          <t>4. Marketing &amp; Customer Acquisition (Doc §2.13, 3.15)</t>
        </is>
      </c>
    </row>
    <row r="26">
      <c r="B26" s="13" t="inlineStr">
        <is>
          <t>Item</t>
        </is>
      </c>
      <c r="C26" s="13" t="inlineStr">
        <is>
          <t>Monthly Amount (RM)</t>
        </is>
      </c>
      <c r="D26" s="13" t="inlineStr">
        <is>
          <t>Note</t>
        </is>
      </c>
    </row>
    <row r="27">
      <c r="B27" s="9" t="inlineStr">
        <is>
          <t>Facebook ads</t>
        </is>
      </c>
      <c r="C27" s="22" t="n">
        <v>500</v>
      </c>
      <c r="D27" s="7" t="inlineStr"/>
    </row>
    <row r="28">
      <c r="B28" s="9" t="inlineStr">
        <is>
          <t>TikTok content / ads</t>
        </is>
      </c>
      <c r="C28" s="22" t="n">
        <v>300</v>
      </c>
      <c r="D28" s="7" t="inlineStr"/>
    </row>
    <row r="29">
      <c r="B29" s="9" t="inlineStr">
        <is>
          <t>Launch / promo materials (reverts to a small standing budget after month 3)</t>
        </is>
      </c>
      <c r="C29" s="22" t="n">
        <v>200</v>
      </c>
      <c r="D29" s="7" t="inlineStr"/>
    </row>
    <row r="30">
      <c r="B30" s="15" t="inlineStr">
        <is>
          <t>Subtotal: 4. Marketing &amp; Customer Acquisition (Doc §2.13, 3.15)</t>
        </is>
      </c>
      <c r="C30" s="17">
        <f>SUM(C27:C29)</f>
        <v/>
      </c>
    </row>
    <row r="32">
      <c r="B32" s="3" t="inlineStr">
        <is>
          <t>5. Systems &amp; Subscriptions (Doc §4.3-4.4, 3.11)</t>
        </is>
      </c>
    </row>
    <row r="33">
      <c r="B33" s="13" t="inlineStr">
        <is>
          <t>Item</t>
        </is>
      </c>
      <c r="C33" s="13" t="inlineStr">
        <is>
          <t>Monthly Amount (RM)</t>
        </is>
      </c>
      <c r="D33" s="13" t="inlineStr">
        <is>
          <t>Note</t>
        </is>
      </c>
    </row>
    <row r="34">
      <c r="B34" s="9" t="inlineStr">
        <is>
          <t>Google Sheets (official inventory/records system, free-~RM300/yr pro-rated monthly)</t>
        </is>
      </c>
      <c r="C34" s="22" t="n">
        <v>25</v>
      </c>
      <c r="D34" s="7" t="inlineStr">
        <is>
          <t>Doc §4.4: Decision Log #007 confirms the free/low-cost route</t>
        </is>
      </c>
    </row>
    <row r="35">
      <c r="B35" s="9" t="inlineStr">
        <is>
          <t>Website maintenance / domain / hosting</t>
        </is>
      </c>
      <c r="C35" s="22" t="n">
        <v>100</v>
      </c>
      <c r="D35" s="7" t="inlineStr"/>
    </row>
    <row r="36">
      <c r="B36" s="9" t="inlineStr">
        <is>
          <t>WhatsApp Business (free; add cost if using a 3rd-party tool)</t>
        </is>
      </c>
      <c r="C36" s="22" t="n">
        <v>0</v>
      </c>
      <c r="D36" s="7" t="inlineStr"/>
    </row>
    <row r="37">
      <c r="B37" s="15" t="inlineStr">
        <is>
          <t>Subtotal: 5. Systems &amp; Subscriptions (Doc §4.3-4.4, 3.11)</t>
        </is>
      </c>
      <c r="C37" s="17">
        <f>SUM(C34:C36)</f>
        <v/>
      </c>
    </row>
    <row r="39">
      <c r="B39" s="3" t="inlineStr">
        <is>
          <t>6. After-sales &amp; Risk Reserve (Doc §2.12, 3.13, 3.14 / mirrors the Chapter 9 legal gap)</t>
        </is>
      </c>
    </row>
    <row r="40">
      <c r="B40" s="13" t="inlineStr">
        <is>
          <t>Item</t>
        </is>
      </c>
      <c r="C40" s="13" t="inlineStr">
        <is>
          <t>Monthly Amount (RM)</t>
        </is>
      </c>
      <c r="D40" s="13" t="inlineStr">
        <is>
          <t>Note</t>
        </is>
      </c>
    </row>
    <row r="41">
      <c r="B41" s="9" t="inlineStr">
        <is>
          <t>Repair / after-sales handling reserve</t>
        </is>
      </c>
      <c r="C41" s="22" t="n">
        <v>300</v>
      </c>
      <c r="D41" s="7" t="inlineStr">
        <is>
          <t>For external repair-partner fees and non-warranty repair handling</t>
        </is>
      </c>
    </row>
    <row r="42">
      <c r="B42" s="9" t="inlineStr">
        <is>
          <t>Insurance allocation (if purchased, see Doc §3.14)</t>
        </is>
      </c>
      <c r="C42" s="22" t="n">
        <v>0</v>
      </c>
      <c r="D42" s="7" t="inlineStr">
        <is>
          <t>Not purchasing yet, researching first; fill in annual premium / 12 once decided</t>
        </is>
      </c>
    </row>
    <row r="43">
      <c r="B43" s="9" t="inlineStr">
        <is>
          <t>Bad debt / return-loss reserve (approx. 0.5% of revenue, estimate)</t>
        </is>
      </c>
      <c r="C43" s="22" t="n">
        <v>150</v>
      </c>
      <c r="D43" s="7" t="inlineStr"/>
    </row>
    <row r="44">
      <c r="B44" s="15" t="inlineStr">
        <is>
          <t>Subtotal: 6. After-sales &amp; Risk Reserve (Doc §2.12, 3.13, 3.14 / mirrors the Chapter 9 legal gap)</t>
        </is>
      </c>
      <c r="C44" s="17">
        <f>SUM(C41:C43)</f>
        <v/>
      </c>
    </row>
    <row r="46">
      <c r="B46" s="3" t="inlineStr">
        <is>
          <t>7. Other Admin (mirrors the not-yet-completed Chapter 9 - Legal &amp; Documentation)</t>
        </is>
      </c>
    </row>
    <row r="47">
      <c r="B47" s="13" t="inlineStr">
        <is>
          <t>Item</t>
        </is>
      </c>
      <c r="C47" s="13" t="inlineStr">
        <is>
          <t>Monthly Amount (RM)</t>
        </is>
      </c>
      <c r="D47" s="13" t="inlineStr">
        <is>
          <t>Note</t>
        </is>
      </c>
    </row>
    <row r="48">
      <c r="B48" s="9" t="inlineStr">
        <is>
          <t>Accounting / bookkeeping service</t>
        </is>
      </c>
      <c r="C48" s="22" t="n">
        <v>250</v>
      </c>
      <c r="D48" s="7" t="inlineStr"/>
    </row>
    <row r="49">
      <c r="B49" s="9" t="inlineStr">
        <is>
          <t>Bank charges / other admin misc</t>
        </is>
      </c>
      <c r="C49" s="22" t="n">
        <v>50</v>
      </c>
      <c r="D49" s="7" t="inlineStr"/>
    </row>
    <row r="50">
      <c r="B50" s="9" t="inlineStr">
        <is>
          <t>LHDN e-Invoice / SST compliance reserve (can be 0 before threshold is reached)</t>
        </is>
      </c>
      <c r="C50" s="22" t="n">
        <v>0</v>
      </c>
      <c r="D50" s="7" t="inlineStr">
        <is>
          <t>Reserve once revenue nears the SST threshold (RM500k) or e-Invoice mandatory phase</t>
        </is>
      </c>
    </row>
    <row r="51">
      <c r="B51" s="15" t="inlineStr">
        <is>
          <t>Subtotal: 7. Other Admin (mirrors the not-yet-completed Chapter 9 - Legal &amp; Documentation)</t>
        </is>
      </c>
      <c r="C51" s="17">
        <f>SUM(C48:C50)</f>
        <v/>
      </c>
    </row>
    <row r="54">
      <c r="B54" s="3" t="inlineStr">
        <is>
          <t>OPEX Grand Total</t>
        </is>
      </c>
    </row>
    <row r="55">
      <c r="B55" s="18" t="inlineStr">
        <is>
          <t>Total monthly fixed operating expenses</t>
        </is>
      </c>
      <c r="C55" s="19">
        <f>C11+C18+C23+C30+C37+C44+C51</f>
        <v/>
      </c>
    </row>
    <row r="56">
      <c r="B56" s="20" t="inlineStr">
        <is>
          <t>Recommended cash reserve (2.5 months of fixed costs; Doc §3.5 requires 2-3 months)</t>
        </is>
      </c>
      <c r="C56" s="21">
        <f>C55*2.5</f>
        <v/>
      </c>
    </row>
  </sheetData>
  <mergeCells count="9">
    <mergeCell ref="A1:D1"/>
    <mergeCell ref="B3:D3"/>
    <mergeCell ref="B46:D46"/>
    <mergeCell ref="B32:D32"/>
    <mergeCell ref="B13:D13"/>
    <mergeCell ref="B39:D39"/>
    <mergeCell ref="B25:D25"/>
    <mergeCell ref="B54:D54"/>
    <mergeCell ref="B20:D2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8"/>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3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4" customWidth="1" min="14" max="14"/>
  </cols>
  <sheetData>
    <row r="1">
      <c r="A1" s="1" t="inlineStr">
        <is>
          <t>12-Month Cash Flow &amp; P&amp;L Forecast (auto-linked to Key Assumptions and OPEX; Month 2+ compounds at the growth rate)</t>
        </is>
      </c>
    </row>
    <row r="3">
      <c r="A3" s="13" t="inlineStr">
        <is>
          <t>Line Item</t>
        </is>
      </c>
      <c r="B3" s="13" t="inlineStr">
        <is>
          <t>Month 1</t>
        </is>
      </c>
      <c r="C3" s="13" t="inlineStr">
        <is>
          <t>Month 2</t>
        </is>
      </c>
      <c r="D3" s="13" t="inlineStr">
        <is>
          <t>Month 3</t>
        </is>
      </c>
      <c r="E3" s="13" t="inlineStr">
        <is>
          <t>Month 4</t>
        </is>
      </c>
      <c r="F3" s="13" t="inlineStr">
        <is>
          <t>Month 5</t>
        </is>
      </c>
      <c r="G3" s="13" t="inlineStr">
        <is>
          <t>Month 6</t>
        </is>
      </c>
      <c r="H3" s="13" t="inlineStr">
        <is>
          <t>Month 7</t>
        </is>
      </c>
      <c r="I3" s="13" t="inlineStr">
        <is>
          <t>Month 8</t>
        </is>
      </c>
      <c r="J3" s="13" t="inlineStr">
        <is>
          <t>Month 9</t>
        </is>
      </c>
      <c r="K3" s="13" t="inlineStr">
        <is>
          <t>Month 10</t>
        </is>
      </c>
      <c r="L3" s="13" t="inlineStr">
        <is>
          <t>Month 11</t>
        </is>
      </c>
      <c r="M3" s="13" t="inlineStr">
        <is>
          <t>Month 12</t>
        </is>
      </c>
      <c r="N3" s="13" t="inlineStr">
        <is>
          <t>12-Month Total</t>
        </is>
      </c>
    </row>
    <row r="4">
      <c r="A4" t="inlineStr">
        <is>
          <t>Phone units sold (compounds from Month 2 at growth rate)</t>
        </is>
      </c>
      <c r="B4" s="23">
        <f>'Key Assumptions'!C24</f>
        <v/>
      </c>
      <c r="C4" s="23">
        <f>B4*(1+'Key Assumptions'!C28)</f>
        <v/>
      </c>
      <c r="D4" s="23">
        <f>C4*(1+'Key Assumptions'!C28)</f>
        <v/>
      </c>
      <c r="E4" s="23">
        <f>D4*(1+'Key Assumptions'!C28)</f>
        <v/>
      </c>
      <c r="F4" s="23">
        <f>E4*(1+'Key Assumptions'!C28)</f>
        <v/>
      </c>
      <c r="G4" s="23">
        <f>F4*(1+'Key Assumptions'!C28)</f>
        <v/>
      </c>
      <c r="H4" s="23">
        <f>G4*(1+'Key Assumptions'!C28)</f>
        <v/>
      </c>
      <c r="I4" s="23">
        <f>H4*(1+'Key Assumptions'!C28)</f>
        <v/>
      </c>
      <c r="J4" s="23">
        <f>I4*(1+'Key Assumptions'!C28)</f>
        <v/>
      </c>
      <c r="K4" s="23">
        <f>J4*(1+'Key Assumptions'!C28)</f>
        <v/>
      </c>
      <c r="L4" s="23">
        <f>K4*(1+'Key Assumptions'!C28)</f>
        <v/>
      </c>
      <c r="M4" s="23">
        <f>L4*(1+'Key Assumptions'!C28)</f>
        <v/>
      </c>
      <c r="N4" s="24">
        <f>SUM(B4:M4)</f>
        <v/>
      </c>
    </row>
    <row r="5">
      <c r="A5" t="inlineStr">
        <is>
          <t>Avg selling price per phone (RM)</t>
        </is>
      </c>
      <c r="B5" s="5">
        <f>'Key Assumptions'!C25</f>
        <v/>
      </c>
      <c r="C5" s="5">
        <f>'Key Assumptions'!C25</f>
        <v/>
      </c>
      <c r="D5" s="5">
        <f>'Key Assumptions'!C25</f>
        <v/>
      </c>
      <c r="E5" s="5">
        <f>'Key Assumptions'!C25</f>
        <v/>
      </c>
      <c r="F5" s="5">
        <f>'Key Assumptions'!C25</f>
        <v/>
      </c>
      <c r="G5" s="5">
        <f>'Key Assumptions'!C25</f>
        <v/>
      </c>
      <c r="H5" s="5">
        <f>'Key Assumptions'!C25</f>
        <v/>
      </c>
      <c r="I5" s="5">
        <f>'Key Assumptions'!C25</f>
        <v/>
      </c>
      <c r="J5" s="5">
        <f>'Key Assumptions'!C25</f>
        <v/>
      </c>
      <c r="K5" s="5">
        <f>'Key Assumptions'!C25</f>
        <v/>
      </c>
      <c r="L5" s="5">
        <f>'Key Assumptions'!C25</f>
        <v/>
      </c>
      <c r="M5" s="5">
        <f>'Key Assumptions'!C25</f>
        <v/>
      </c>
    </row>
    <row r="6">
      <c r="A6" t="inlineStr">
        <is>
          <t>Phone sales revenue (RM)</t>
        </is>
      </c>
      <c r="B6" s="5">
        <f>B4*B5</f>
        <v/>
      </c>
      <c r="C6" s="5">
        <f>C4*C5</f>
        <v/>
      </c>
      <c r="D6" s="5">
        <f>D4*D5</f>
        <v/>
      </c>
      <c r="E6" s="5">
        <f>E4*E5</f>
        <v/>
      </c>
      <c r="F6" s="5">
        <f>F4*F5</f>
        <v/>
      </c>
      <c r="G6" s="5">
        <f>G4*G5</f>
        <v/>
      </c>
      <c r="H6" s="5">
        <f>H4*H5</f>
        <v/>
      </c>
      <c r="I6" s="5">
        <f>I4*I5</f>
        <v/>
      </c>
      <c r="J6" s="5">
        <f>J4*J5</f>
        <v/>
      </c>
      <c r="K6" s="5">
        <f>K4*K5</f>
        <v/>
      </c>
      <c r="L6" s="5">
        <f>L4*L5</f>
        <v/>
      </c>
      <c r="M6" s="5">
        <f>M4*M5</f>
        <v/>
      </c>
      <c r="N6" s="25">
        <f>SUM(B6:M6)</f>
        <v/>
      </c>
    </row>
    <row r="7">
      <c r="A7" t="inlineStr">
        <is>
          <t>Accessory orders</t>
        </is>
      </c>
      <c r="B7" s="23">
        <f>'Key Assumptions'!C26</f>
        <v/>
      </c>
      <c r="C7" s="23">
        <f>B7*(1+'Key Assumptions'!C28)</f>
        <v/>
      </c>
      <c r="D7" s="23">
        <f>C7*(1+'Key Assumptions'!C28)</f>
        <v/>
      </c>
      <c r="E7" s="23">
        <f>D7*(1+'Key Assumptions'!C28)</f>
        <v/>
      </c>
      <c r="F7" s="23">
        <f>E7*(1+'Key Assumptions'!C28)</f>
        <v/>
      </c>
      <c r="G7" s="23">
        <f>F7*(1+'Key Assumptions'!C28)</f>
        <v/>
      </c>
      <c r="H7" s="23">
        <f>G7*(1+'Key Assumptions'!C28)</f>
        <v/>
      </c>
      <c r="I7" s="23">
        <f>H7*(1+'Key Assumptions'!C28)</f>
        <v/>
      </c>
      <c r="J7" s="23">
        <f>I7*(1+'Key Assumptions'!C28)</f>
        <v/>
      </c>
      <c r="K7" s="23">
        <f>J7*(1+'Key Assumptions'!C28)</f>
        <v/>
      </c>
      <c r="L7" s="23">
        <f>K7*(1+'Key Assumptions'!C28)</f>
        <v/>
      </c>
      <c r="M7" s="23">
        <f>L7*(1+'Key Assumptions'!C28)</f>
        <v/>
      </c>
      <c r="N7" s="24">
        <f>SUM(B7:M7)</f>
        <v/>
      </c>
    </row>
    <row r="8">
      <c r="A8" t="inlineStr">
        <is>
          <t>Avg accessory order value (RM)</t>
        </is>
      </c>
      <c r="B8" s="5">
        <f>'Key Assumptions'!C27</f>
        <v/>
      </c>
      <c r="C8" s="5">
        <f>'Key Assumptions'!C27</f>
        <v/>
      </c>
      <c r="D8" s="5">
        <f>'Key Assumptions'!C27</f>
        <v/>
      </c>
      <c r="E8" s="5">
        <f>'Key Assumptions'!C27</f>
        <v/>
      </c>
      <c r="F8" s="5">
        <f>'Key Assumptions'!C27</f>
        <v/>
      </c>
      <c r="G8" s="5">
        <f>'Key Assumptions'!C27</f>
        <v/>
      </c>
      <c r="H8" s="5">
        <f>'Key Assumptions'!C27</f>
        <v/>
      </c>
      <c r="I8" s="5">
        <f>'Key Assumptions'!C27</f>
        <v/>
      </c>
      <c r="J8" s="5">
        <f>'Key Assumptions'!C27</f>
        <v/>
      </c>
      <c r="K8" s="5">
        <f>'Key Assumptions'!C27</f>
        <v/>
      </c>
      <c r="L8" s="5">
        <f>'Key Assumptions'!C27</f>
        <v/>
      </c>
      <c r="M8" s="5">
        <f>'Key Assumptions'!C27</f>
        <v/>
      </c>
    </row>
    <row r="9">
      <c r="A9" t="inlineStr">
        <is>
          <t>Accessories sales revenue (RM)</t>
        </is>
      </c>
      <c r="B9" s="5">
        <f>B7*B8</f>
        <v/>
      </c>
      <c r="C9" s="5">
        <f>C7*C8</f>
        <v/>
      </c>
      <c r="D9" s="5">
        <f>D7*D8</f>
        <v/>
      </c>
      <c r="E9" s="5">
        <f>E7*E8</f>
        <v/>
      </c>
      <c r="F9" s="5">
        <f>F7*F8</f>
        <v/>
      </c>
      <c r="G9" s="5">
        <f>G7*G8</f>
        <v/>
      </c>
      <c r="H9" s="5">
        <f>H7*H8</f>
        <v/>
      </c>
      <c r="I9" s="5">
        <f>I7*I8</f>
        <v/>
      </c>
      <c r="J9" s="5">
        <f>J7*J8</f>
        <v/>
      </c>
      <c r="K9" s="5">
        <f>K7*K8</f>
        <v/>
      </c>
      <c r="L9" s="5">
        <f>L7*L8</f>
        <v/>
      </c>
      <c r="M9" s="5">
        <f>M7*M8</f>
        <v/>
      </c>
      <c r="N9" s="25">
        <f>SUM(B9:M9)</f>
        <v/>
      </c>
    </row>
    <row r="10">
      <c r="A10" s="26" t="inlineStr">
        <is>
          <t>Total revenue (RM)</t>
        </is>
      </c>
      <c r="B10" s="17">
        <f>B6+B9</f>
        <v/>
      </c>
      <c r="C10" s="17">
        <f>C6+C9</f>
        <v/>
      </c>
      <c r="D10" s="17">
        <f>D6+D9</f>
        <v/>
      </c>
      <c r="E10" s="17">
        <f>E6+E9</f>
        <v/>
      </c>
      <c r="F10" s="17">
        <f>F6+F9</f>
        <v/>
      </c>
      <c r="G10" s="17">
        <f>G6+G9</f>
        <v/>
      </c>
      <c r="H10" s="17">
        <f>H6+H9</f>
        <v/>
      </c>
      <c r="I10" s="17">
        <f>I6+I9</f>
        <v/>
      </c>
      <c r="J10" s="17">
        <f>J6+J9</f>
        <v/>
      </c>
      <c r="K10" s="17">
        <f>K6+K9</f>
        <v/>
      </c>
      <c r="L10" s="17">
        <f>L6+L9</f>
        <v/>
      </c>
      <c r="M10" s="17">
        <f>M6+M9</f>
        <v/>
      </c>
      <c r="N10" s="25">
        <f>SUM(B10:M10)</f>
        <v/>
      </c>
    </row>
    <row r="11">
      <c r="A11" t="inlineStr">
        <is>
          <t>Estimated gross margin (RM) - new/used/accessories blended</t>
        </is>
      </c>
      <c r="B11" s="5">
        <f>(B6*(('Key Assumptions'!C8/('Key Assumptions'!C8+'Key Assumptions'!C9))*'Key Assumptions'!C13+('Key Assumptions'!C9/('Key Assumptions'!C8+'Key Assumptions'!C9))*'Key Assumptions'!C14))+(B9*'Key Assumptions'!C15)</f>
        <v/>
      </c>
      <c r="C11" s="5">
        <f>(C6*(('Key Assumptions'!C8/('Key Assumptions'!C8+'Key Assumptions'!C9))*'Key Assumptions'!C13+('Key Assumptions'!C9/('Key Assumptions'!C8+'Key Assumptions'!C9))*'Key Assumptions'!C14))+(C9*'Key Assumptions'!C15)</f>
        <v/>
      </c>
      <c r="D11" s="5">
        <f>(D6*(('Key Assumptions'!C8/('Key Assumptions'!C8+'Key Assumptions'!C9))*'Key Assumptions'!C13+('Key Assumptions'!C9/('Key Assumptions'!C8+'Key Assumptions'!C9))*'Key Assumptions'!C14))+(D9*'Key Assumptions'!C15)</f>
        <v/>
      </c>
      <c r="E11" s="5">
        <f>(E6*(('Key Assumptions'!C8/('Key Assumptions'!C8+'Key Assumptions'!C9))*'Key Assumptions'!C13+('Key Assumptions'!C9/('Key Assumptions'!C8+'Key Assumptions'!C9))*'Key Assumptions'!C14))+(E9*'Key Assumptions'!C15)</f>
        <v/>
      </c>
      <c r="F11" s="5">
        <f>(F6*(('Key Assumptions'!C8/('Key Assumptions'!C8+'Key Assumptions'!C9))*'Key Assumptions'!C13+('Key Assumptions'!C9/('Key Assumptions'!C8+'Key Assumptions'!C9))*'Key Assumptions'!C14))+(F9*'Key Assumptions'!C15)</f>
        <v/>
      </c>
      <c r="G11" s="5">
        <f>(G6*(('Key Assumptions'!C8/('Key Assumptions'!C8+'Key Assumptions'!C9))*'Key Assumptions'!C13+('Key Assumptions'!C9/('Key Assumptions'!C8+'Key Assumptions'!C9))*'Key Assumptions'!C14))+(G9*'Key Assumptions'!C15)</f>
        <v/>
      </c>
      <c r="H11" s="5">
        <f>(H6*(('Key Assumptions'!C8/('Key Assumptions'!C8+'Key Assumptions'!C9))*'Key Assumptions'!C13+('Key Assumptions'!C9/('Key Assumptions'!C8+'Key Assumptions'!C9))*'Key Assumptions'!C14))+(H9*'Key Assumptions'!C15)</f>
        <v/>
      </c>
      <c r="I11" s="5">
        <f>(I6*(('Key Assumptions'!C8/('Key Assumptions'!C8+'Key Assumptions'!C9))*'Key Assumptions'!C13+('Key Assumptions'!C9/('Key Assumptions'!C8+'Key Assumptions'!C9))*'Key Assumptions'!C14))+(I9*'Key Assumptions'!C15)</f>
        <v/>
      </c>
      <c r="J11" s="5">
        <f>(J6*(('Key Assumptions'!C8/('Key Assumptions'!C8+'Key Assumptions'!C9))*'Key Assumptions'!C13+('Key Assumptions'!C9/('Key Assumptions'!C8+'Key Assumptions'!C9))*'Key Assumptions'!C14))+(J9*'Key Assumptions'!C15)</f>
        <v/>
      </c>
      <c r="K11" s="5">
        <f>(K6*(('Key Assumptions'!C8/('Key Assumptions'!C8+'Key Assumptions'!C9))*'Key Assumptions'!C13+('Key Assumptions'!C9/('Key Assumptions'!C8+'Key Assumptions'!C9))*'Key Assumptions'!C14))+(K9*'Key Assumptions'!C15)</f>
        <v/>
      </c>
      <c r="L11" s="5">
        <f>(L6*(('Key Assumptions'!C8/('Key Assumptions'!C8+'Key Assumptions'!C9))*'Key Assumptions'!C13+('Key Assumptions'!C9/('Key Assumptions'!C8+'Key Assumptions'!C9))*'Key Assumptions'!C14))+(L9*'Key Assumptions'!C15)</f>
        <v/>
      </c>
      <c r="M11" s="5">
        <f>(M6*(('Key Assumptions'!C8/('Key Assumptions'!C8+'Key Assumptions'!C9))*'Key Assumptions'!C13+('Key Assumptions'!C9/('Key Assumptions'!C8+'Key Assumptions'!C9))*'Key Assumptions'!C14))+(M9*'Key Assumptions'!C15)</f>
        <v/>
      </c>
      <c r="N11" s="25">
        <f>SUM(B11:M11)</f>
        <v/>
      </c>
    </row>
    <row r="12">
      <c r="A12" t="inlineStr">
        <is>
          <t>Payment processing fees (RM)</t>
        </is>
      </c>
      <c r="B12" s="5">
        <f>B10*('Key Assumptions'!C32*'Key Assumptions'!C35+'Key Assumptions'!C33*'Key Assumptions'!C36+'Key Assumptions'!C34*'Key Assumptions'!C37)</f>
        <v/>
      </c>
      <c r="C12" s="5">
        <f>C10*('Key Assumptions'!C32*'Key Assumptions'!C35+'Key Assumptions'!C33*'Key Assumptions'!C36+'Key Assumptions'!C34*'Key Assumptions'!C37)</f>
        <v/>
      </c>
      <c r="D12" s="5">
        <f>D10*('Key Assumptions'!C32*'Key Assumptions'!C35+'Key Assumptions'!C33*'Key Assumptions'!C36+'Key Assumptions'!C34*'Key Assumptions'!C37)</f>
        <v/>
      </c>
      <c r="E12" s="5">
        <f>E10*('Key Assumptions'!C32*'Key Assumptions'!C35+'Key Assumptions'!C33*'Key Assumptions'!C36+'Key Assumptions'!C34*'Key Assumptions'!C37)</f>
        <v/>
      </c>
      <c r="F12" s="5">
        <f>F10*('Key Assumptions'!C32*'Key Assumptions'!C35+'Key Assumptions'!C33*'Key Assumptions'!C36+'Key Assumptions'!C34*'Key Assumptions'!C37)</f>
        <v/>
      </c>
      <c r="G12" s="5">
        <f>G10*('Key Assumptions'!C32*'Key Assumptions'!C35+'Key Assumptions'!C33*'Key Assumptions'!C36+'Key Assumptions'!C34*'Key Assumptions'!C37)</f>
        <v/>
      </c>
      <c r="H12" s="5">
        <f>H10*('Key Assumptions'!C32*'Key Assumptions'!C35+'Key Assumptions'!C33*'Key Assumptions'!C36+'Key Assumptions'!C34*'Key Assumptions'!C37)</f>
        <v/>
      </c>
      <c r="I12" s="5">
        <f>I10*('Key Assumptions'!C32*'Key Assumptions'!C35+'Key Assumptions'!C33*'Key Assumptions'!C36+'Key Assumptions'!C34*'Key Assumptions'!C37)</f>
        <v/>
      </c>
      <c r="J12" s="5">
        <f>J10*('Key Assumptions'!C32*'Key Assumptions'!C35+'Key Assumptions'!C33*'Key Assumptions'!C36+'Key Assumptions'!C34*'Key Assumptions'!C37)</f>
        <v/>
      </c>
      <c r="K12" s="5">
        <f>K10*('Key Assumptions'!C32*'Key Assumptions'!C35+'Key Assumptions'!C33*'Key Assumptions'!C36+'Key Assumptions'!C34*'Key Assumptions'!C37)</f>
        <v/>
      </c>
      <c r="L12" s="5">
        <f>L10*('Key Assumptions'!C32*'Key Assumptions'!C35+'Key Assumptions'!C33*'Key Assumptions'!C36+'Key Assumptions'!C34*'Key Assumptions'!C37)</f>
        <v/>
      </c>
      <c r="M12" s="5">
        <f>M10*('Key Assumptions'!C32*'Key Assumptions'!C35+'Key Assumptions'!C33*'Key Assumptions'!C36+'Key Assumptions'!C34*'Key Assumptions'!C37)</f>
        <v/>
      </c>
      <c r="N12" s="25">
        <f>SUM(B12:M12)</f>
        <v/>
      </c>
    </row>
    <row r="13">
      <c r="A13" t="inlineStr">
        <is>
          <t>Monthly fixed OPEX (RM)</t>
        </is>
      </c>
      <c r="B13" s="5">
        <f>'OPEX Monthly Opex'!C55</f>
        <v/>
      </c>
      <c r="C13" s="5">
        <f>'OPEX Monthly Opex'!C55</f>
        <v/>
      </c>
      <c r="D13" s="5">
        <f>'OPEX Monthly Opex'!C55</f>
        <v/>
      </c>
      <c r="E13" s="5">
        <f>'OPEX Monthly Opex'!C55</f>
        <v/>
      </c>
      <c r="F13" s="5">
        <f>'OPEX Monthly Opex'!C55</f>
        <v/>
      </c>
      <c r="G13" s="5">
        <f>'OPEX Monthly Opex'!C55</f>
        <v/>
      </c>
      <c r="H13" s="5">
        <f>'OPEX Monthly Opex'!C55</f>
        <v/>
      </c>
      <c r="I13" s="5">
        <f>'OPEX Monthly Opex'!C55</f>
        <v/>
      </c>
      <c r="J13" s="5">
        <f>'OPEX Monthly Opex'!C55</f>
        <v/>
      </c>
      <c r="K13" s="5">
        <f>'OPEX Monthly Opex'!C55</f>
        <v/>
      </c>
      <c r="L13" s="5">
        <f>'OPEX Monthly Opex'!C55</f>
        <v/>
      </c>
      <c r="M13" s="5">
        <f>'OPEX Monthly Opex'!C55</f>
        <v/>
      </c>
      <c r="N13" s="25">
        <f>SUM(B13:M13)</f>
        <v/>
      </c>
    </row>
    <row r="14">
      <c r="A14" t="inlineStr">
        <is>
          <t>Sales commission (% of gross margin)</t>
        </is>
      </c>
      <c r="B14" s="5">
        <f>B11*'Key Assumptions'!C43</f>
        <v/>
      </c>
      <c r="C14" s="5">
        <f>C11*'Key Assumptions'!C43</f>
        <v/>
      </c>
      <c r="D14" s="5">
        <f>D11*'Key Assumptions'!C43</f>
        <v/>
      </c>
      <c r="E14" s="5">
        <f>E11*'Key Assumptions'!C43</f>
        <v/>
      </c>
      <c r="F14" s="5">
        <f>F11*'Key Assumptions'!C43</f>
        <v/>
      </c>
      <c r="G14" s="5">
        <f>G11*'Key Assumptions'!C43</f>
        <v/>
      </c>
      <c r="H14" s="5">
        <f>H11*'Key Assumptions'!C43</f>
        <v/>
      </c>
      <c r="I14" s="5">
        <f>I11*'Key Assumptions'!C43</f>
        <v/>
      </c>
      <c r="J14" s="5">
        <f>J11*'Key Assumptions'!C43</f>
        <v/>
      </c>
      <c r="K14" s="5">
        <f>K11*'Key Assumptions'!C43</f>
        <v/>
      </c>
      <c r="L14" s="5">
        <f>L11*'Key Assumptions'!C43</f>
        <v/>
      </c>
      <c r="M14" s="5">
        <f>M11*'Key Assumptions'!C43</f>
        <v/>
      </c>
      <c r="N14" s="25">
        <f>SUM(B14:M14)</f>
        <v/>
      </c>
    </row>
    <row r="15">
      <c r="A15" s="26" t="inlineStr">
        <is>
          <t>Net profit (RM) = Gross margin - fees - OPEX - commission</t>
        </is>
      </c>
      <c r="B15" s="17">
        <f>B11-B12-B13-B14</f>
        <v/>
      </c>
      <c r="C15" s="17">
        <f>C11-C12-C13-C14</f>
        <v/>
      </c>
      <c r="D15" s="17">
        <f>D11-D12-D13-D14</f>
        <v/>
      </c>
      <c r="E15" s="17">
        <f>E11-E12-E13-E14</f>
        <v/>
      </c>
      <c r="F15" s="17">
        <f>F11-F12-F13-F14</f>
        <v/>
      </c>
      <c r="G15" s="17">
        <f>G11-G12-G13-G14</f>
        <v/>
      </c>
      <c r="H15" s="17">
        <f>H11-H12-H13-H14</f>
        <v/>
      </c>
      <c r="I15" s="17">
        <f>I11-I12-I13-I14</f>
        <v/>
      </c>
      <c r="J15" s="17">
        <f>J11-J12-J13-J14</f>
        <v/>
      </c>
      <c r="K15" s="17">
        <f>K11-K12-K13-K14</f>
        <v/>
      </c>
      <c r="L15" s="17">
        <f>L11-L12-L13-L14</f>
        <v/>
      </c>
      <c r="M15" s="17">
        <f>M11-M12-M13-M14</f>
        <v/>
      </c>
      <c r="N15" s="25">
        <f>SUM(B15:M15)</f>
        <v/>
      </c>
    </row>
    <row r="16">
      <c r="A16" t="inlineStr">
        <is>
          <t>Cumulative net cash flow (RM, starts at 0, excludes CAPEX)</t>
        </is>
      </c>
      <c r="B16" s="5">
        <f>B15</f>
        <v/>
      </c>
      <c r="C16" s="5">
        <f>B16+C15</f>
        <v/>
      </c>
      <c r="D16" s="5">
        <f>C16+D15</f>
        <v/>
      </c>
      <c r="E16" s="5">
        <f>D16+E15</f>
        <v/>
      </c>
      <c r="F16" s="5">
        <f>E16+F15</f>
        <v/>
      </c>
      <c r="G16" s="5">
        <f>F16+G15</f>
        <v/>
      </c>
      <c r="H16" s="5">
        <f>G16+H15</f>
        <v/>
      </c>
      <c r="I16" s="5">
        <f>H16+I15</f>
        <v/>
      </c>
      <c r="J16" s="5">
        <f>I16+J15</f>
        <v/>
      </c>
      <c r="K16" s="5">
        <f>J16+K15</f>
        <v/>
      </c>
      <c r="L16" s="5">
        <f>K16+L15</f>
        <v/>
      </c>
      <c r="M16" s="5">
        <f>L16+M15</f>
        <v/>
      </c>
    </row>
    <row r="18">
      <c r="A18" s="27" t="inlineStr">
        <is>
          <t>Decision Log #024 validation bar: 3 consecutive months of net profit &gt; 0 and positive cumulative net cash flow</t>
        </is>
      </c>
    </row>
  </sheetData>
  <mergeCells count="2">
    <mergeCell ref="A18:N18"/>
    <mergeCell ref="A1:N1"/>
  </mergeCells>
  <conditionalFormatting sqref="B15:M15">
    <cfRule type="cellIs" priority="1" operator="lessThan" dxfId="0">
      <formula>0</formula>
    </cfRule>
    <cfRule type="cellIs" priority="2" operator="greaterThanOrEqual" dxfId="1">
      <formula>0</formula>
    </cfRule>
  </conditionalFormatting>
  <conditionalFormatting sqref="B16:N16">
    <cfRule type="cellIs" priority="3" operator="lessThan" dxfId="0">
      <formula>0</formula>
    </cfRule>
    <cfRule type="cellIs" priority="4" operator="greaterThanOrEqual" dxfId="1">
      <formula>0</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2026-07-02T05:01:52Z</dcterms:created>
  <dcterms:modified xsi:type="dcterms:W3CDTF">2026-07-02T05:01:52Z</dcterms:modified>
</cp:coreProperties>
</file>
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使用说明" sheetId="2" state="visible" r:id="rId2"/>
    <sheet name="关键假设" sheetId="3" state="visible" r:id="rId3"/>
    <sheet name="CAPEX 开店资本支出" sheetId="4" state="visible" r:id="rId4"/>
    <sheet name="OPEX 每月营运支出" sheetId="5" state="visible" r:id="rId5"/>
    <sheet name="12个月现金流预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M&quot; #,##0"/>
    <numFmt numFmtId="165" formatCode="0.0%"/>
    <numFmt numFmtId="166" formatCode="&quot;RM&quot; #,##0.00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2"/>
    </font>
    <font>
      <name val="Calibri"/>
      <i val="1"/>
      <color rgb="00666666"/>
      <sz val="9"/>
    </font>
    <font>
      <name val="Calibri"/>
      <b val="1"/>
      <color rgb="001F3864"/>
      <sz val="10"/>
    </font>
    <font>
      <name val="Calibri"/>
      <b val="1"/>
      <sz val="10"/>
    </font>
    <font>
      <b val="1"/>
      <sz val="12"/>
    </font>
    <font>
      <i val="1"/>
    </font>
    <font>
      <i val="1"/>
      <color rgb="00666666"/>
      <sz val="9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A78D6"/>
      </patternFill>
    </fill>
    <fill>
      <patternFill patternType="solid">
        <fgColor rgb="00FFF7CC"/>
      </patternFill>
    </fill>
    <fill>
      <patternFill patternType="solid">
        <fgColor rgb="00DCE9F9"/>
      </patternFill>
    </fill>
    <fill>
      <patternFill patternType="solid">
        <fgColor rgb="00F2F2F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166" fontId="1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6" fillId="6" borderId="0" pivotButton="0" quotePrefix="0" xfId="0"/>
    <xf numFmtId="0" fontId="0" fillId="6" borderId="0" pivotButton="0" quotePrefix="0" xfId="0"/>
    <xf numFmtId="166" fontId="6" fillId="6" borderId="0" pivotButton="0" quotePrefix="0" xfId="0"/>
    <xf numFmtId="0" fontId="7" fillId="5" borderId="0" pivotButton="0" quotePrefix="0" xfId="0"/>
    <xf numFmtId="166" fontId="7" fillId="5" borderId="0" pivotButton="0" quotePrefix="0" xfId="0"/>
    <xf numFmtId="0" fontId="8" fillId="0" borderId="0" pivotButton="0" quotePrefix="0" xfId="0"/>
    <xf numFmtId="166" fontId="8" fillId="0" borderId="0" pivotButton="0" quotePrefix="0" xfId="0"/>
    <xf numFmtId="166" fontId="0" fillId="4" borderId="1" pivotButton="0" quotePrefix="0" xfId="0"/>
    <xf numFmtId="167" fontId="0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ont>
        <color rgb="00D03B3B"/>
      </font>
    </dxf>
    <dxf>
      <font>
        <color rgb="000CA30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40" customWidth="1" min="4" max="4"/>
  </cols>
  <sheetData>
    <row r="1">
      <c r="A1" s="1" t="inlineStr">
        <is>
          <t>SUN SMART · CAPEX/OPEX 总览</t>
        </is>
      </c>
    </row>
    <row r="3">
      <c r="B3" s="2" t="inlineStr">
        <is>
          <t>货币单位：马来西亚令吉 (RM)　|　所有数字最终来源：「关键假设」表</t>
        </is>
      </c>
    </row>
    <row r="5">
      <c r="B5" s="3" t="inlineStr">
        <is>
          <t>一次性资本支出 CAPEX</t>
        </is>
      </c>
    </row>
    <row r="6">
      <c r="B6" t="inlineStr">
        <is>
          <t>CAPEX 总计（含现金储备）</t>
        </is>
      </c>
      <c r="C6" s="4">
        <f>'CAPEX 开店资本支出'!E68</f>
        <v>89462.5</v>
      </c>
    </row>
    <row r="8">
      <c r="B8" s="3" t="inlineStr">
        <is>
          <t>每月营运支出 OPEX</t>
        </is>
      </c>
    </row>
    <row r="9">
      <c r="B9" t="inlineStr">
        <is>
          <t>每月 OPEX 总计</t>
        </is>
      </c>
      <c r="C9" s="4">
        <f>'OPEX 每月营运支出'!C55</f>
        <v>9285.0</v>
      </c>
    </row>
    <row r="10">
      <c r="B10" t="inlineStr">
        <is>
          <t>建议现金储备（2.5个月）</t>
        </is>
      </c>
      <c r="C10" s="5">
        <f>'OPEX 每月营运支出'!C56</f>
        <v>23212.5</v>
      </c>
    </row>
    <row r="12">
      <c r="B12" s="3" t="inlineStr">
        <is>
          <t>总启动资金需求</t>
        </is>
      </c>
    </row>
    <row r="13">
      <c r="B13" s="6" t="inlineStr">
        <is>
          <t>CAPEX 总计（已含现金储备）</t>
        </is>
      </c>
      <c r="C13" s="4">
        <f>'CAPEX 开店资本支出'!E68</f>
        <v>89462.5</v>
      </c>
    </row>
    <row r="14">
      <c r="B14" t="inlineStr">
        <is>
          <t>对比 RM50,000-100,000 预算区间</t>
        </is>
      </c>
      <c r="C14" t="str">
        <f>IF(C13&lt;='关键假设'!C4,"低于下限，资金充裕",IF(C13&lt;='关键假设'!C5,"落在预算区间内","超出预算上限，需调整假设或增资"))</f>
        <v>落在预算区间内</v>
      </c>
    </row>
    <row r="17">
      <c r="B17" s="3" t="inlineStr">
        <is>
          <t>12个月预测摘要</t>
        </is>
      </c>
    </row>
    <row r="18">
      <c r="B18" t="inlineStr">
        <is>
          <t>12个月总营收</t>
        </is>
      </c>
      <c r="C18" s="5">
        <f>'12个月现金流预测'!N10</f>
        <v>890549.8549865913</v>
      </c>
    </row>
    <row r="19">
      <c r="B19" t="inlineStr">
        <is>
          <t>12个月净利润合计</t>
        </is>
      </c>
      <c r="C19" s="5">
        <f>'12个月现金流预测'!N15</f>
        <v>19949.40863823614</v>
      </c>
    </row>
    <row r="20">
      <c r="B20" t="inlineStr">
        <is>
          <t>第12月末累计净现金流</t>
        </is>
      </c>
      <c r="C20" s="5">
        <f>'12个月现金流预测'!M16</f>
        <v>19949.40863823614</v>
      </c>
    </row>
    <row r="22" ht="30" customHeight="1">
      <c r="B22" s="7" t="inlineStr">
        <is>
          <t>提示：本表所有黄色输入格集中在「关键假设」「CAPEX」「OPEX」三张表，改完后回到本页查看总览是否仍落在预算区间内。</t>
        </is>
      </c>
    </row>
  </sheetData>
  <mergeCells count="6">
    <mergeCell ref="A1:D1"/>
    <mergeCell ref="B5:C5"/>
    <mergeCell ref="B22:D22"/>
    <mergeCell ref="B17:C17"/>
    <mergeCell ref="B8:C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SUN SMART · CAPEX / OPEX 财务模型</t>
        </is>
      </c>
    </row>
    <row r="3" ht="40" customHeight="1">
      <c r="B3" s="8" t="inlineStr">
        <is>
          <t>本表根据《Project A OS · SUN SMART 经营操作系统 Master Document V0.7》第1-3、5、6、8章及 Decision Log 整理而成，用于补上文件中标注「第6章财务预算 待完成」的缺口。</t>
        </is>
      </c>
    </row>
    <row r="5" ht="28" customHeight="1">
      <c r="B5" s="8" t="inlineStr">
        <is>
          <t>● 黄色底色的格子：= 可编辑的假设/输入值。拿到真实报价后，直接改这些格子，其余公式会自动重算。</t>
        </is>
      </c>
    </row>
    <row r="6" ht="28" customHeight="1">
      <c r="B6" s="8" t="inlineStr">
        <is>
          <t>● 白色/灰色格子：= 公式自动计算，不需要手动改。</t>
        </is>
      </c>
    </row>
    <row r="7" ht="28" customHeight="1">
      <c r="B7" s="8" t="inlineStr">
        <is>
          <t>● CAPEX 一次性资本支出：= 开店前一次性投入的钱：押金、装修、设备、首批库存、系统开办费等。</t>
        </is>
      </c>
    </row>
    <row r="8" ht="28" customHeight="1">
      <c r="B8" s="8" t="inlineStr">
        <is>
          <t>● OPEX 每月营运支出：= 开店后每个月固定要付的钱：租金、工资、水电、支付手续费等。</t>
        </is>
      </c>
    </row>
    <row r="9" ht="28" customHeight="1">
      <c r="B9" s="8" t="inlineStr">
        <is>
          <t>● 现金流与损益预测：= 未来12个月的营收、毛利、费用、净现金流预测，含盈亏平衡点估算。</t>
        </is>
      </c>
    </row>
    <row r="10" ht="28" customHeight="1">
      <c r="B10" s="8" t="inlineStr">
        <is>
          <t>● 关键假设：= 集中列出所有关键假设（毛利率、坪效、人流转化率等），方便日后调整重跑，其余表格全部引用这张表。</t>
        </is>
      </c>
    </row>
    <row r="12">
      <c r="B12" s="6" t="inlineStr">
        <is>
          <t>使用步骤：</t>
        </is>
      </c>
    </row>
    <row r="13" ht="30" customHeight="1">
      <c r="B13" s="8" t="inlineStr">
        <is>
          <t>1. 先在「关键假设」表填入你已经拿到的真实数字（租金、供应商报价等），没拿到的先保留文件里的估算值。</t>
        </is>
      </c>
    </row>
    <row r="14" ht="30" customHeight="1">
      <c r="B14" s="8" t="inlineStr">
        <is>
          <t>2. 「CAPEX 开店资本支出」和「OPEX 每月营运支出」会自动引用「关键假设」的数字，也可以直接在两张表里覆盖个别项目。</t>
        </is>
      </c>
    </row>
    <row r="15" ht="30" customHeight="1">
      <c r="B15" s="8" t="inlineStr">
        <is>
          <t>3. 「12个月现金流预测」会自动汇总，用来判断 RM50,000-100,000 的启动资金是否足够撑过 Decision Log #024 要求的『连续三个月盈利+正现金流』验证期。</t>
        </is>
      </c>
    </row>
    <row r="16" ht="30" customHeight="1">
      <c r="B16" s="8" t="inlineStr">
        <is>
          <t>4. 每次拿到新报价（例如商场 Level B 租金、供应商 Level B 价格）就回来更新对应格子，保持这份表是唯一 Master 财务文件，呼应文件 10.2 的 Decision Log #026 原则。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0" customWidth="1" min="4" max="4"/>
  </cols>
  <sheetData>
    <row r="1">
      <c r="A1" s="1" t="inlineStr">
        <is>
          <t>关键假设 Key Assumptions（黄色=可编辑，其余表格全部引用这里）</t>
        </is>
      </c>
    </row>
    <row r="3">
      <c r="B3" s="3" t="inlineStr">
        <is>
          <t>启动预算与开业</t>
        </is>
      </c>
    </row>
    <row r="4">
      <c r="B4" s="9" t="inlineStr">
        <is>
          <t>启动预算下限</t>
        </is>
      </c>
      <c r="C4" s="10" t="n">
        <v>50000</v>
      </c>
      <c r="D4" s="7" t="inlineStr">
        <is>
          <t>文件 3.5 / Decision Log #018：RM50,000-100,000</t>
        </is>
      </c>
    </row>
    <row r="5">
      <c r="B5" s="9" t="inlineStr">
        <is>
          <t>启动预算上限</t>
        </is>
      </c>
      <c r="C5" s="10" t="n">
        <v>100000</v>
      </c>
      <c r="D5" s="7" t="inlineStr"/>
    </row>
    <row r="7">
      <c r="B7" s="3" t="inlineStr">
        <is>
          <t>收入结构假设 (文件 2.3 / Decision Log #005)</t>
        </is>
      </c>
    </row>
    <row r="8">
      <c r="B8" s="9" t="inlineStr">
        <is>
          <t>新机收入占比</t>
        </is>
      </c>
      <c r="C8" s="11" t="n">
        <v>0.45</v>
      </c>
      <c r="D8" s="7" t="inlineStr"/>
    </row>
    <row r="9">
      <c r="B9" s="9" t="inlineStr">
        <is>
          <t>二手机收入占比</t>
        </is>
      </c>
      <c r="C9" s="11" t="n">
        <v>0.45</v>
      </c>
      <c r="D9" s="7" t="inlineStr"/>
    </row>
    <row r="10">
      <c r="B10" s="9" t="inlineStr">
        <is>
          <t>配件收入占比</t>
        </is>
      </c>
      <c r="C10" s="11" t="n">
        <v>0.1</v>
      </c>
      <c r="D10" s="7" t="inlineStr"/>
    </row>
    <row r="12">
      <c r="B12" s="3" t="inlineStr">
        <is>
          <t>毛利率假设 (文件 2.4 / Decision Log #006)</t>
        </is>
      </c>
    </row>
    <row r="13">
      <c r="B13" s="9" t="inlineStr">
        <is>
          <t>新机毛利率</t>
        </is>
      </c>
      <c r="C13" s="11" t="n">
        <v>0.025</v>
      </c>
      <c r="D13" s="7" t="inlineStr">
        <is>
          <t>文件区间 2%-3%，取中间值</t>
        </is>
      </c>
    </row>
    <row r="14">
      <c r="B14" s="9" t="inlineStr">
        <is>
          <t>二手机毛利率</t>
        </is>
      </c>
      <c r="C14" s="11" t="n">
        <v>0.25</v>
      </c>
      <c r="D14" s="7" t="inlineStr"/>
    </row>
    <row r="15">
      <c r="B15" s="9" t="inlineStr">
        <is>
          <t>配件毛利率</t>
        </is>
      </c>
      <c r="C15" s="11" t="n">
        <v>0.4</v>
      </c>
      <c r="D15" s="7" t="inlineStr">
        <is>
          <t>文件区间 30%-50%，取中间值，待供应商报价验证</t>
        </is>
      </c>
    </row>
    <row r="17">
      <c r="B17" s="3" t="inlineStr">
        <is>
          <t>库存资金分配 (文件 3.6 / Decision Log #008)</t>
        </is>
      </c>
    </row>
    <row r="18">
      <c r="B18" s="9" t="inlineStr">
        <is>
          <t>新机库存占比</t>
        </is>
      </c>
      <c r="C18" s="11" t="n">
        <v>0.7</v>
      </c>
      <c r="D18" s="7" t="inlineStr"/>
    </row>
    <row r="19">
      <c r="B19" s="9" t="inlineStr">
        <is>
          <t>二手机库存占比</t>
        </is>
      </c>
      <c r="C19" s="11" t="n">
        <v>0.2</v>
      </c>
      <c r="D19" s="7" t="inlineStr"/>
    </row>
    <row r="20">
      <c r="B20" s="9" t="inlineStr">
        <is>
          <t>配件库存占比</t>
        </is>
      </c>
      <c r="C20" s="11" t="n">
        <v>0.1</v>
      </c>
      <c r="D20" s="7" t="inlineStr"/>
    </row>
    <row r="21">
      <c r="B21" s="9" t="inlineStr">
        <is>
          <t>首批库存总预算</t>
        </is>
      </c>
      <c r="C21" s="10" t="n">
        <v>35000</v>
      </c>
      <c r="D21" s="7" t="inlineStr">
        <is>
          <t>建议不超过启动预算的50-60%，分批采购，见文件3.6.4</t>
        </is>
      </c>
    </row>
    <row r="23">
      <c r="B23" s="3" t="inlineStr">
        <is>
          <t>销售规模假设（开业首月，可调整，月2起按增长率递增）</t>
        </is>
      </c>
    </row>
    <row r="24">
      <c r="B24" s="9" t="inlineStr">
        <is>
          <t>月均手机销售台数</t>
        </is>
      </c>
      <c r="C24" s="12" t="n">
        <v>40</v>
      </c>
      <c r="D24" s="7" t="inlineStr">
        <is>
          <t>0→1阶段保守假设，建议用首月实际数据校正</t>
        </is>
      </c>
    </row>
    <row r="25">
      <c r="B25" s="9" t="inlineStr">
        <is>
          <t>平均每台手机售价</t>
        </is>
      </c>
      <c r="C25" s="10" t="n">
        <v>1400</v>
      </c>
      <c r="D25" s="7" t="inlineStr">
        <is>
          <t>文件产品定位 RM500-3000 区间的中位数附近</t>
        </is>
      </c>
    </row>
    <row r="26">
      <c r="B26" s="9" t="inlineStr">
        <is>
          <t>配件月均订单数</t>
        </is>
      </c>
      <c r="C26" s="12" t="n">
        <v>150</v>
      </c>
      <c r="D26" s="7" t="inlineStr"/>
    </row>
    <row r="27">
      <c r="B27" s="9" t="inlineStr">
        <is>
          <t>配件平均客单价</t>
        </is>
      </c>
      <c r="C27" s="10" t="n">
        <v>45</v>
      </c>
      <c r="D27" s="7" t="inlineStr"/>
    </row>
    <row r="28">
      <c r="B28" s="9" t="inlineStr">
        <is>
          <t>月销量环比增长率</t>
        </is>
      </c>
      <c r="C28" s="11" t="n">
        <v>0.03</v>
      </c>
      <c r="D28" s="7" t="inlineStr">
        <is>
          <t>假设口碑与线上引流带动缓慢增长</t>
        </is>
      </c>
    </row>
    <row r="30">
      <c r="B30" s="3" t="inlineStr">
        <is>
          <t>支付渠道占比与手续费假设 (文件 5.6)</t>
        </is>
      </c>
    </row>
    <row r="31">
      <c r="B31" s="9" t="inlineStr">
        <is>
          <t>现金转账占比</t>
        </is>
      </c>
      <c r="C31" s="11" t="n">
        <v>0.45</v>
      </c>
      <c r="D31" s="7" t="inlineStr">
        <is>
          <t>无手续费</t>
        </is>
      </c>
    </row>
    <row r="32">
      <c r="B32" s="9" t="inlineStr">
        <is>
          <t>DuitNow QR占比</t>
        </is>
      </c>
      <c r="C32" s="11" t="n">
        <v>0.2</v>
      </c>
      <c r="D32" s="7" t="inlineStr"/>
    </row>
    <row r="33">
      <c r="B33" s="9" t="inlineStr">
        <is>
          <t>信用卡占比</t>
        </is>
      </c>
      <c r="C33" s="11" t="n">
        <v>0.15</v>
      </c>
      <c r="D33" s="7" t="inlineStr"/>
    </row>
    <row r="34">
      <c r="B34" s="9" t="inlineStr">
        <is>
          <t>PayLater占比</t>
        </is>
      </c>
      <c r="C34" s="11" t="n">
        <v>0.2</v>
      </c>
      <c r="D34" s="7" t="inlineStr">
        <is>
          <t>文件区间3-6%取中间偏高</t>
        </is>
      </c>
    </row>
    <row r="35">
      <c r="B35" s="9" t="inlineStr">
        <is>
          <t>DuitNow QR费率</t>
        </is>
      </c>
      <c r="C35" s="11" t="n">
        <v>0.01</v>
      </c>
      <c r="D35" s="7" t="inlineStr"/>
    </row>
    <row r="36">
      <c r="B36" s="9" t="inlineStr">
        <is>
          <t>信用卡费率</t>
        </is>
      </c>
      <c r="C36" s="11" t="n">
        <v>0.015</v>
      </c>
      <c r="D36" s="7" t="inlineStr"/>
    </row>
    <row r="37">
      <c r="B37" s="9" t="inlineStr">
        <is>
          <t>PayLater费率</t>
        </is>
      </c>
      <c r="C37" s="11" t="n">
        <v>0.045</v>
      </c>
      <c r="D37" s="7" t="inlineStr"/>
    </row>
    <row r="39">
      <c r="B39" s="3" t="inlineStr">
        <is>
          <t>人员假设 (文件 2.14)</t>
        </is>
      </c>
    </row>
    <row r="40">
      <c r="B40" s="9" t="inlineStr">
        <is>
          <t>员工人数</t>
        </is>
      </c>
      <c r="C40" s="12" t="n">
        <v>1</v>
      </c>
      <c r="D40" s="7" t="inlineStr">
        <is>
          <t>开业初期1名销售员工</t>
        </is>
      </c>
    </row>
    <row r="41">
      <c r="B41" s="9" t="inlineStr">
        <is>
          <t>员工基本工资</t>
        </is>
      </c>
      <c r="C41" s="10" t="n">
        <v>2000</v>
      </c>
      <c r="D41" s="7" t="inlineStr"/>
    </row>
    <row r="42">
      <c r="B42" s="9" t="inlineStr">
        <is>
          <t>雇主EPF SOCSO EIS比例</t>
        </is>
      </c>
      <c r="C42" s="11" t="n">
        <v>0.13</v>
      </c>
      <c r="D42" s="7" t="inlineStr">
        <is>
          <t>约13%</t>
        </is>
      </c>
    </row>
    <row r="43">
      <c r="B43" s="9" t="inlineStr">
        <is>
          <t>销售佣金占毛利比例</t>
        </is>
      </c>
      <c r="C43" s="11" t="n">
        <v>0.03</v>
      </c>
      <c r="D43" s="7" t="inlineStr">
        <is>
          <t>假设值，需与员工另行约定</t>
        </is>
      </c>
    </row>
  </sheetData>
  <mergeCells count="8">
    <mergeCell ref="A1:D1"/>
    <mergeCell ref="B3:D3"/>
    <mergeCell ref="B23:D23"/>
    <mergeCell ref="B17:D17"/>
    <mergeCell ref="B30:D30"/>
    <mergeCell ref="B39:D39"/>
    <mergeCell ref="B12:D12"/>
    <mergeCell ref="B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CAPEX · 开店一次性资本支出（对应文件第3章 Checklist）</t>
        </is>
      </c>
    </row>
    <row r="3">
      <c r="B3" s="3" t="inlineStr">
        <is>
          <t>1. 商场租赁 一次性费用 (文件 3.4)</t>
        </is>
      </c>
    </row>
    <row r="4">
      <c r="B4" s="13" t="inlineStr">
        <is>
          <t>项目</t>
        </is>
      </c>
      <c r="C4" s="13" t="inlineStr">
        <is>
          <t>数量</t>
        </is>
      </c>
      <c r="D4" s="13" t="inlineStr">
        <is>
          <t>单价 (RM)</t>
        </is>
      </c>
      <c r="E4" s="13" t="inlineStr">
        <is>
          <t>小计 (RM)</t>
        </is>
      </c>
      <c r="F4" s="13" t="inlineStr">
        <is>
          <t>备注</t>
        </is>
      </c>
    </row>
    <row r="5">
      <c r="B5" s="9" t="inlineStr">
        <is>
          <t>租金押金（一般2-3个月租金）</t>
        </is>
      </c>
      <c r="C5" s="12" t="n">
        <v>1</v>
      </c>
      <c r="D5" s="10" t="n">
        <v>6000</v>
      </c>
      <c r="E5" s="14">
        <f>C5*D5</f>
        <v>6000.0</v>
      </c>
      <c r="F5" s="7" t="inlineStr">
        <is>
          <t>待Level B报价确认，见文件7.6商场询价问题清单</t>
        </is>
      </c>
    </row>
    <row r="6">
      <c r="B6" s="9" t="inlineStr">
        <is>
          <t>水电押金</t>
        </is>
      </c>
      <c r="C6" s="12" t="n">
        <v>1</v>
      </c>
      <c r="D6" s="10" t="n">
        <v>500</v>
      </c>
      <c r="E6" s="14">
        <f>C6*D6</f>
        <v>500.0</v>
      </c>
      <c r="F6" s="7" t="inlineStr"/>
    </row>
    <row r="7">
      <c r="B7" s="9" t="inlineStr">
        <is>
          <t>装修押金</t>
        </is>
      </c>
      <c r="C7" s="12" t="n">
        <v>1</v>
      </c>
      <c r="D7" s="10" t="n">
        <v>1000</v>
      </c>
      <c r="E7" s="14">
        <f>C7*D7</f>
        <v>1000.0</v>
      </c>
      <c r="F7" s="7" t="inlineStr"/>
    </row>
    <row r="8">
      <c r="B8" s="9" t="inlineStr">
        <is>
          <t>招牌申请费/图纸审批费</t>
        </is>
      </c>
      <c r="C8" s="12" t="n">
        <v>1</v>
      </c>
      <c r="D8" s="10" t="n">
        <v>800</v>
      </c>
      <c r="E8" s="14">
        <f>C8*D8</f>
        <v>800.0</v>
      </c>
      <c r="F8" s="7" t="inlineStr"/>
    </row>
    <row r="9">
      <c r="B9" s="9" t="inlineStr">
        <is>
          <t>律师费/印花税（租约）</t>
        </is>
      </c>
      <c r="C9" s="12" t="n">
        <v>1</v>
      </c>
      <c r="D9" s="10" t="n">
        <v>500</v>
      </c>
      <c r="E9" s="14">
        <f>C9*D9</f>
        <v>500.0</v>
      </c>
      <c r="F9" s="7" t="inlineStr"/>
    </row>
    <row r="10">
      <c r="B10" s="15" t="inlineStr">
        <is>
          <t>小计：1. 商场租赁 一次性费用 (文件 3.4)</t>
        </is>
      </c>
      <c r="C10" s="16" t="n"/>
      <c r="D10" s="16" t="n"/>
      <c r="E10" s="17">
        <f>SUM(E5:E9)</f>
        <v>8800.0</v>
      </c>
    </row>
    <row r="12">
      <c r="B12" s="3" t="inlineStr">
        <is>
          <t>2. 装修工程 (文件 3.8)</t>
        </is>
      </c>
    </row>
    <row r="13">
      <c r="B13" s="13" t="inlineStr">
        <is>
          <t>项目</t>
        </is>
      </c>
      <c r="C13" s="13" t="inlineStr">
        <is>
          <t>数量</t>
        </is>
      </c>
      <c r="D13" s="13" t="inlineStr">
        <is>
          <t>单价 (RM)</t>
        </is>
      </c>
      <c r="E13" s="13" t="inlineStr">
        <is>
          <t>小计 (RM)</t>
        </is>
      </c>
      <c r="F13" s="13" t="inlineStr">
        <is>
          <t>备注</t>
        </is>
      </c>
    </row>
    <row r="14">
      <c r="B14" s="9" t="inlineStr">
        <is>
          <t>展示柜（可移动/可重复使用款）</t>
        </is>
      </c>
      <c r="C14" s="12" t="n">
        <v>3</v>
      </c>
      <c r="D14" s="10" t="n">
        <v>800</v>
      </c>
      <c r="E14" s="14">
        <f>C14*D14</f>
        <v>2400.0</v>
      </c>
      <c r="F14" s="7" t="inlineStr">
        <is>
          <t>文件强调优先可移动、未来可搬走</t>
        </is>
      </c>
    </row>
    <row r="15">
      <c r="B15" s="9" t="inlineStr">
        <is>
          <t>柜台/收银台</t>
        </is>
      </c>
      <c r="C15" s="12" t="n">
        <v>1</v>
      </c>
      <c r="D15" s="10" t="n">
        <v>1200</v>
      </c>
      <c r="E15" s="14">
        <f>C15*D15</f>
        <v>1200.0</v>
      </c>
      <c r="F15" s="7" t="inlineStr"/>
    </row>
    <row r="16">
      <c r="B16" s="9" t="inlineStr">
        <is>
          <t>招牌制作与安装</t>
        </is>
      </c>
      <c r="C16" s="12" t="n">
        <v>1</v>
      </c>
      <c r="D16" s="10" t="n">
        <v>2500</v>
      </c>
      <c r="E16" s="14">
        <f>C16*D16</f>
        <v>2500.0</v>
      </c>
      <c r="F16" s="7" t="inlineStr"/>
    </row>
    <row r="17">
      <c r="B17" s="9" t="inlineStr">
        <is>
          <t>灯光工程</t>
        </is>
      </c>
      <c r="C17" s="12" t="n">
        <v>1</v>
      </c>
      <c r="D17" s="10" t="n">
        <v>1000</v>
      </c>
      <c r="E17" s="14">
        <f>C17*D17</f>
        <v>1000.0</v>
      </c>
      <c r="F17" s="7" t="inlineStr"/>
    </row>
    <row r="18">
      <c r="B18" s="9" t="inlineStr">
        <is>
          <t>电源/网络布线</t>
        </is>
      </c>
      <c r="C18" s="12" t="n">
        <v>1</v>
      </c>
      <c r="D18" s="10" t="n">
        <v>800</v>
      </c>
      <c r="E18" s="14">
        <f>C18*D18</f>
        <v>800.0</v>
      </c>
      <c r="F18" s="7" t="inlineStr"/>
    </row>
    <row r="19">
      <c r="B19" s="9" t="inlineStr">
        <is>
          <t>基础油漆与地板整理</t>
        </is>
      </c>
      <c r="C19" s="12" t="n">
        <v>1</v>
      </c>
      <c r="D19" s="10" t="n">
        <v>1500</v>
      </c>
      <c r="E19" s="14">
        <f>C19*D19</f>
        <v>1500.0</v>
      </c>
      <c r="F19" s="7" t="inlineStr"/>
    </row>
    <row r="20">
      <c r="B20" s="9" t="inlineStr">
        <is>
          <t>装修其他杂项</t>
        </is>
      </c>
      <c r="C20" s="12" t="n">
        <v>1</v>
      </c>
      <c r="D20" s="10" t="n">
        <v>1000</v>
      </c>
      <c r="E20" s="14">
        <f>C20*D20</f>
        <v>1000.0</v>
      </c>
      <c r="F20" s="7" t="inlineStr"/>
    </row>
    <row r="21">
      <c r="B21" s="15" t="inlineStr">
        <is>
          <t>小计：2. 装修工程 (文件 3.8)</t>
        </is>
      </c>
      <c r="C21" s="16" t="n"/>
      <c r="D21" s="16" t="n"/>
      <c r="E21" s="17">
        <f>SUM(E14:E20)</f>
        <v>10400.0</v>
      </c>
    </row>
    <row r="23">
      <c r="B23" s="3" t="inlineStr">
        <is>
          <t>3. 店铺设备 (文件 3.9)</t>
        </is>
      </c>
    </row>
    <row r="24">
      <c r="B24" s="13" t="inlineStr">
        <is>
          <t>项目</t>
        </is>
      </c>
      <c r="C24" s="13" t="inlineStr">
        <is>
          <t>数量</t>
        </is>
      </c>
      <c r="D24" s="13" t="inlineStr">
        <is>
          <t>单价 (RM)</t>
        </is>
      </c>
      <c r="E24" s="13" t="inlineStr">
        <is>
          <t>小计 (RM)</t>
        </is>
      </c>
      <c r="F24" s="13" t="inlineStr">
        <is>
          <t>备注</t>
        </is>
      </c>
    </row>
    <row r="25">
      <c r="B25" s="9" t="inlineStr">
        <is>
          <t>CCTV 系统</t>
        </is>
      </c>
      <c r="C25" s="12" t="n">
        <v>1</v>
      </c>
      <c r="D25" s="10" t="n">
        <v>900</v>
      </c>
      <c r="E25" s="14">
        <f>C25*D25</f>
        <v>900.0</v>
      </c>
      <c r="F25" s="7" t="inlineStr"/>
    </row>
    <row r="26">
      <c r="B26" s="9" t="inlineStr">
        <is>
          <t>电脑/Laptop</t>
        </is>
      </c>
      <c r="C26" s="12" t="n">
        <v>1</v>
      </c>
      <c r="D26" s="10" t="n">
        <v>2200</v>
      </c>
      <c r="E26" s="14">
        <f>C26*D26</f>
        <v>2200.0</v>
      </c>
      <c r="F26" s="7" t="inlineStr"/>
    </row>
    <row r="27">
      <c r="B27" s="9" t="inlineStr">
        <is>
          <t>打印机</t>
        </is>
      </c>
      <c r="C27" s="12" t="n">
        <v>1</v>
      </c>
      <c r="D27" s="10" t="n">
        <v>400</v>
      </c>
      <c r="E27" s="14">
        <f>C27*D27</f>
        <v>400.0</v>
      </c>
      <c r="F27" s="7" t="inlineStr"/>
    </row>
    <row r="28">
      <c r="B28" s="9" t="inlineStr">
        <is>
          <t>Cash Drawer 收银箱</t>
        </is>
      </c>
      <c r="C28" s="12" t="n">
        <v>1</v>
      </c>
      <c r="D28" s="10" t="n">
        <v>250</v>
      </c>
      <c r="E28" s="14">
        <f>C28*D28</f>
        <v>250.0</v>
      </c>
      <c r="F28" s="7" t="inlineStr"/>
    </row>
    <row r="29">
      <c r="B29" s="9" t="inlineStr">
        <is>
          <t>Wi-Fi 路由器</t>
        </is>
      </c>
      <c r="C29" s="12" t="n">
        <v>1</v>
      </c>
      <c r="D29" s="10" t="n">
        <v>200</v>
      </c>
      <c r="E29" s="14">
        <f>C29*D29</f>
        <v>200.0</v>
      </c>
      <c r="F29" s="7" t="inlineStr"/>
    </row>
    <row r="30">
      <c r="B30" s="9" t="inlineStr">
        <is>
          <t>POS/条码扫描器（如采用）</t>
        </is>
      </c>
      <c r="C30" s="12" t="n">
        <v>1</v>
      </c>
      <c r="D30" s="10" t="n">
        <v>600</v>
      </c>
      <c r="E30" s="14">
        <f>C30*D30</f>
        <v>600.0</v>
      </c>
      <c r="F30" s="7" t="inlineStr">
        <is>
          <t>文件4.4：第一阶段用Google Sheets，POS延后，此项可为0</t>
        </is>
      </c>
    </row>
    <row r="31">
      <c r="B31" s="9" t="inlineStr">
        <is>
          <t>手机防盗展示器/小型保险箱</t>
        </is>
      </c>
      <c r="C31" s="12" t="n">
        <v>1</v>
      </c>
      <c r="D31" s="10" t="n">
        <v>500</v>
      </c>
      <c r="E31" s="14">
        <f>C31*D31</f>
        <v>500.0</v>
      </c>
      <c r="F31" s="7" t="inlineStr"/>
    </row>
    <row r="32">
      <c r="B32" s="9" t="inlineStr">
        <is>
          <t>灭火器/UPS等安全设备</t>
        </is>
      </c>
      <c r="C32" s="12" t="n">
        <v>1</v>
      </c>
      <c r="D32" s="10" t="n">
        <v>300</v>
      </c>
      <c r="E32" s="14">
        <f>C32*D32</f>
        <v>300.0</v>
      </c>
      <c r="F32" s="7" t="inlineStr"/>
    </row>
    <row r="33">
      <c r="B33" s="9" t="inlineStr">
        <is>
          <t>包装袋/收据本/标签机等开业物料</t>
        </is>
      </c>
      <c r="C33" s="12" t="n">
        <v>1</v>
      </c>
      <c r="D33" s="10" t="n">
        <v>500</v>
      </c>
      <c r="E33" s="14">
        <f>C33*D33</f>
        <v>500.0</v>
      </c>
      <c r="F33" s="7" t="inlineStr"/>
    </row>
    <row r="34">
      <c r="B34" s="15" t="inlineStr">
        <is>
          <t>小计：3. 店铺设备 (文件 3.9)</t>
        </is>
      </c>
      <c r="C34" s="16" t="n"/>
      <c r="D34" s="16" t="n"/>
      <c r="E34" s="17">
        <f>SUM(E25:E33)</f>
        <v>5850.0</v>
      </c>
    </row>
    <row r="36">
      <c r="B36" s="3" t="inlineStr">
        <is>
          <t>4. 支付与系统开办费 (文件 3.10, 5.6)</t>
        </is>
      </c>
    </row>
    <row r="37">
      <c r="B37" s="13" t="inlineStr">
        <is>
          <t>项目</t>
        </is>
      </c>
      <c r="C37" s="13" t="inlineStr">
        <is>
          <t>数量</t>
        </is>
      </c>
      <c r="D37" s="13" t="inlineStr">
        <is>
          <t>单价 (RM)</t>
        </is>
      </c>
      <c r="E37" s="13" t="inlineStr">
        <is>
          <t>小计 (RM)</t>
        </is>
      </c>
      <c r="F37" s="13" t="inlineStr">
        <is>
          <t>备注</t>
        </is>
      </c>
    </row>
    <row r="38">
      <c r="B38" s="9" t="inlineStr">
        <is>
          <t>DuitNow QR 申请/开通费</t>
        </is>
      </c>
      <c r="C38" s="12" t="n">
        <v>1</v>
      </c>
      <c r="D38" s="10" t="n">
        <v>0</v>
      </c>
      <c r="E38" s="14">
        <f>C38*D38</f>
        <v>0.0</v>
      </c>
      <c r="F38" s="7" t="inlineStr">
        <is>
          <t>通常免费，待Level B确认</t>
        </is>
      </c>
    </row>
    <row r="39">
      <c r="B39" s="9" t="inlineStr">
        <is>
          <t>信用卡终端机 Setup Fee</t>
        </is>
      </c>
      <c r="C39" s="12" t="n">
        <v>1</v>
      </c>
      <c r="D39" s="10" t="n">
        <v>300</v>
      </c>
      <c r="E39" s="14">
        <f>C39*D39</f>
        <v>300.0</v>
      </c>
      <c r="F39" s="7" t="inlineStr">
        <is>
          <t>待HitPay/Revenue Monster报价，见文件5.8</t>
        </is>
      </c>
    </row>
    <row r="40">
      <c r="B40" s="9" t="inlineStr">
        <is>
          <t>PayLater 平台 Setup Fee</t>
        </is>
      </c>
      <c r="C40" s="12" t="n">
        <v>1</v>
      </c>
      <c r="D40" s="10" t="n">
        <v>300</v>
      </c>
      <c r="E40" s="14">
        <f>C40*D40</f>
        <v>300.0</v>
      </c>
      <c r="F40" s="7" t="inlineStr"/>
    </row>
    <row r="41">
      <c r="B41" s="9" t="inlineStr">
        <is>
          <t>WhatsApp Business 设置（人力工时，非现金支出可填0）</t>
        </is>
      </c>
      <c r="C41" s="12" t="n">
        <v>1</v>
      </c>
      <c r="D41" s="10" t="n">
        <v>0</v>
      </c>
      <c r="E41" s="14">
        <f>C41*D41</f>
        <v>0.0</v>
      </c>
      <c r="F41" s="7" t="inlineStr"/>
    </row>
    <row r="42">
      <c r="B42" s="9" t="inlineStr">
        <is>
          <t>自建网站建置费</t>
        </is>
      </c>
      <c r="C42" s="12" t="n">
        <v>1</v>
      </c>
      <c r="D42" s="10" t="n">
        <v>3000</v>
      </c>
      <c r="E42" s="14">
        <f>C42*D42</f>
        <v>3000.0</v>
      </c>
      <c r="F42" s="7" t="inlineStr">
        <is>
          <t>文件3.11.2：如短期内无法完成付款功能，可先用WhatsApp接单</t>
        </is>
      </c>
    </row>
    <row r="43">
      <c r="B43" s="15" t="inlineStr">
        <is>
          <t>小计：4. 支付与系统开办费 (文件 3.10, 5.6)</t>
        </is>
      </c>
      <c r="C43" s="16" t="n"/>
      <c r="D43" s="16" t="n"/>
      <c r="E43" s="17">
        <f>SUM(E38:E42)</f>
        <v>3600.0</v>
      </c>
    </row>
    <row r="45">
      <c r="B45" s="3" t="inlineStr">
        <is>
          <t>5. 公司与合规开办费 (呼应待完成的第9章 法律与文件)</t>
        </is>
      </c>
    </row>
    <row r="46">
      <c r="B46" s="13" t="inlineStr">
        <is>
          <t>项目</t>
        </is>
      </c>
      <c r="C46" s="13" t="inlineStr">
        <is>
          <t>数量</t>
        </is>
      </c>
      <c r="D46" s="13" t="inlineStr">
        <is>
          <t>单价 (RM)</t>
        </is>
      </c>
      <c r="E46" s="13" t="inlineStr">
        <is>
          <t>小计 (RM)</t>
        </is>
      </c>
      <c r="F46" s="13" t="inlineStr">
        <is>
          <t>备注</t>
        </is>
      </c>
    </row>
    <row r="47">
      <c r="B47" s="9" t="inlineStr">
        <is>
          <t>SSM 年费/文件（如需更新）</t>
        </is>
      </c>
      <c r="C47" s="12" t="n">
        <v>1</v>
      </c>
      <c r="D47" s="10" t="n">
        <v>300</v>
      </c>
      <c r="E47" s="14">
        <f>C47*D47</f>
        <v>300.0</v>
      </c>
      <c r="F47" s="7" t="inlineStr">
        <is>
          <t>文件3.2：SSM注册已完成，此处为后续年度维护提醒</t>
        </is>
      </c>
    </row>
    <row r="48">
      <c r="B48" s="9" t="inlineStr">
        <is>
          <t>商业执照 Business Premise License</t>
        </is>
      </c>
      <c r="C48" s="12" t="n">
        <v>1</v>
      </c>
      <c r="D48" s="10" t="n">
        <v>500</v>
      </c>
      <c r="E48" s="14">
        <f>C48*D48</f>
        <v>500.0</v>
      </c>
      <c r="F48" s="7" t="inlineStr">
        <is>
          <t>地方政府牌照，按店铺所在地议会收费</t>
        </is>
      </c>
    </row>
    <row r="49">
      <c r="B49" s="9" t="inlineStr">
        <is>
          <t>招牌执照 Signboard License</t>
        </is>
      </c>
      <c r="C49" s="12" t="n">
        <v>1</v>
      </c>
      <c r="D49" s="10" t="n">
        <v>300</v>
      </c>
      <c r="E49" s="14">
        <f>C49*D49</f>
        <v>300.0</v>
      </c>
      <c r="F49" s="7" t="inlineStr"/>
    </row>
    <row r="50">
      <c r="B50" s="9" t="inlineStr">
        <is>
          <t>初期法律/合约审阅费（租约、合伙协议）</t>
        </is>
      </c>
      <c r="C50" s="12" t="n">
        <v>1</v>
      </c>
      <c r="D50" s="10" t="n">
        <v>1500</v>
      </c>
      <c r="E50" s="14">
        <f>C50*D50</f>
        <v>1500.0</v>
      </c>
      <c r="F50" s="7" t="inlineStr">
        <is>
          <t>对应文件2.15合伙人书面协议、9章法律文件缺口</t>
        </is>
      </c>
    </row>
    <row r="51">
      <c r="B51" s="9" t="inlineStr">
        <is>
          <t>保险首年保费（如决定购买）</t>
        </is>
      </c>
      <c r="C51" s="12" t="n">
        <v>1</v>
      </c>
      <c r="D51" s="10" t="n">
        <v>0</v>
      </c>
      <c r="E51" s="14">
        <f>C51*D51</f>
        <v>0.0</v>
      </c>
      <c r="F51" s="7" t="inlineStr">
        <is>
          <t>文件3.14：暂不立即购买，先研究；此处先留0，谈妥后再填</t>
        </is>
      </c>
    </row>
    <row r="52">
      <c r="B52" s="15" t="inlineStr">
        <is>
          <t>小计：5. 公司与合规开办费 (呼应待完成的第9章 法律与文件)</t>
        </is>
      </c>
      <c r="C52" s="16" t="n"/>
      <c r="D52" s="16" t="n"/>
      <c r="E52" s="17">
        <f>SUM(E47:E51)</f>
        <v>2600.0</v>
      </c>
    </row>
    <row r="54">
      <c r="B54" s="3" t="inlineStr">
        <is>
          <t>6. 首批库存 (文件 3.6 / Decision Log #008，自动按 70/20/10 比例计算)</t>
        </is>
      </c>
    </row>
    <row r="55">
      <c r="B55" s="13" t="inlineStr">
        <is>
          <t>项目</t>
        </is>
      </c>
      <c r="C55" s="13" t="inlineStr">
        <is>
          <t>数量</t>
        </is>
      </c>
      <c r="D55" s="13" t="inlineStr">
        <is>
          <t>单价 (RM)</t>
        </is>
      </c>
      <c r="E55" s="13" t="inlineStr">
        <is>
          <t>小计 (RM)</t>
        </is>
      </c>
      <c r="F55" s="13" t="inlineStr">
        <is>
          <t>备注</t>
        </is>
      </c>
    </row>
    <row r="56">
      <c r="B56" s="9" t="inlineStr">
        <is>
          <t>新机首批库存</t>
        </is>
      </c>
      <c r="C56" s="9" t="n"/>
      <c r="D56" s="9" t="n"/>
      <c r="E56" s="14">
        <f>'关键假设'!C21*'关键假设'!C18</f>
        <v>24500.0</v>
      </c>
      <c r="F56" s="7" t="inlineStr">
        <is>
          <t>计算式：首批库存总预算 × 新机占比（关键假设表）</t>
        </is>
      </c>
    </row>
    <row r="57">
      <c r="B57" s="9" t="inlineStr">
        <is>
          <t>二手机首批库存</t>
        </is>
      </c>
      <c r="C57" s="9" t="n"/>
      <c r="D57" s="9" t="n"/>
      <c r="E57" s="14">
        <f>'关键假设'!C21*'关键假设'!C19</f>
        <v>7000.0</v>
      </c>
      <c r="F57" s="7" t="inlineStr">
        <is>
          <t>计算式：首批库存总预算 × 二手机占比</t>
        </is>
      </c>
    </row>
    <row r="58">
      <c r="B58" s="9" t="inlineStr">
        <is>
          <t>配件首批库存</t>
        </is>
      </c>
      <c r="C58" s="9" t="n"/>
      <c r="D58" s="9" t="n"/>
      <c r="E58" s="14">
        <f>'关键假设'!C21*'关键假设'!C20</f>
        <v>3500.0</v>
      </c>
      <c r="F58" s="7" t="inlineStr">
        <is>
          <t>计算式：首批库存总预算 × 配件占比</t>
        </is>
      </c>
    </row>
    <row r="59">
      <c r="B59" s="15" t="inlineStr">
        <is>
          <t>小计：6. 首批库存 (文件 3.6 / Decision Log #008，自动按 70/20/10 比例计算)</t>
        </is>
      </c>
      <c r="C59" s="16" t="n"/>
      <c r="D59" s="16" t="n"/>
      <c r="E59" s="17">
        <f>SUM(E56:E58)</f>
        <v>35000.0</v>
      </c>
    </row>
    <row r="61">
      <c r="B61" s="3" t="inlineStr">
        <is>
          <t>7. 现金流保护储备 (文件 3.5 现金流保护原则 / Decision Log #018)</t>
        </is>
      </c>
    </row>
    <row r="62">
      <c r="B62" s="13" t="inlineStr">
        <is>
          <t>项目</t>
        </is>
      </c>
      <c r="C62" s="13" t="inlineStr">
        <is>
          <t>数量</t>
        </is>
      </c>
      <c r="D62" s="13" t="inlineStr">
        <is>
          <t>单价 (RM)</t>
        </is>
      </c>
      <c r="E62" s="13" t="inlineStr">
        <is>
          <t>小计 (RM)</t>
        </is>
      </c>
      <c r="F62" s="13" t="inlineStr">
        <is>
          <t>备注</t>
        </is>
      </c>
    </row>
    <row r="63">
      <c r="B63" s="9" t="inlineStr">
        <is>
          <t>应急/营运现金储备（自动引用「OPEX」表建议值，见备注）</t>
        </is>
      </c>
      <c r="C63" s="12" t="n">
        <v>1</v>
      </c>
      <c r="D63" s="10" t="n">
        <v>0</v>
      </c>
      <c r="E63" s="14">
        <f>C63*D63</f>
        <v>0.0</v>
      </c>
      <c r="F63" s="7" t="inlineStr">
        <is>
          <t>开业当天不得把预算全部用完；此小计会在OPEX表生成后自动改写为公式</t>
        </is>
      </c>
    </row>
    <row r="64">
      <c r="B64" s="15" t="inlineStr">
        <is>
          <t>小计：7. 现金流保护储备 (文件 3.5 现金流保护原则 / Decision Log #018)</t>
        </is>
      </c>
      <c r="C64" s="16" t="n"/>
      <c r="D64" s="16" t="n"/>
      <c r="E64" s="17">
        <f>'OPEX 每月营运支出'!C56</f>
        <v>23212.5</v>
      </c>
    </row>
    <row r="67">
      <c r="B67" s="3" t="inlineStr">
        <is>
          <t>CAPEX 总计</t>
        </is>
      </c>
    </row>
    <row r="68">
      <c r="B68" s="18" t="inlineStr">
        <is>
          <t>CAPEX 总计（含现金储备）</t>
        </is>
      </c>
      <c r="E68" s="19">
        <f>E10+E21+E34+E43+E52+E59+E64</f>
        <v>89462.5</v>
      </c>
    </row>
    <row r="69">
      <c r="B69" s="20" t="inlineStr">
        <is>
          <t>对比启动预算下限</t>
        </is>
      </c>
      <c r="E69" s="21">
        <f>'关键假设'!C4-E68</f>
        <v>-39462.5</v>
      </c>
    </row>
    <row r="70">
      <c r="B70" s="20" t="inlineStr">
        <is>
          <t>对比启动预算上限</t>
        </is>
      </c>
      <c r="E70" s="21">
        <f>'关键假设'!C5-E68</f>
        <v>10537.5</v>
      </c>
    </row>
  </sheetData>
  <mergeCells count="9">
    <mergeCell ref="B12:F12"/>
    <mergeCell ref="B54:F54"/>
    <mergeCell ref="A1:F1"/>
    <mergeCell ref="B3:F3"/>
    <mergeCell ref="B67:F67"/>
    <mergeCell ref="B45:F45"/>
    <mergeCell ref="B23:F23"/>
    <mergeCell ref="B61:F61"/>
    <mergeCell ref="B36:F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40" customWidth="1" min="4" max="4"/>
  </cols>
  <sheetData>
    <row r="1">
      <c r="A1" s="1" t="inlineStr">
        <is>
          <t>OPEX · 每月营运固定/变动支出（对应文件2.16核心成本结构）</t>
        </is>
      </c>
    </row>
    <row r="3">
      <c r="B3" s="3" t="inlineStr">
        <is>
          <t>1. 场地相关 (文件 3.4)</t>
        </is>
      </c>
    </row>
    <row r="4">
      <c r="B4" s="13" t="inlineStr">
        <is>
          <t>项目</t>
        </is>
      </c>
      <c r="C4" s="13" t="inlineStr">
        <is>
          <t>每月金额 (RM)</t>
        </is>
      </c>
      <c r="D4" s="13" t="inlineStr">
        <is>
          <t>备注</t>
        </is>
      </c>
    </row>
    <row r="5">
      <c r="B5" s="9" t="inlineStr">
        <is>
          <t>商场基本租金</t>
        </is>
      </c>
      <c r="C5" s="22" t="n">
        <v>3500</v>
      </c>
      <c r="D5" s="7" t="inlineStr">
        <is>
          <t>待商场Level B报价，见文件7.9联系清单</t>
        </is>
      </c>
    </row>
    <row r="6">
      <c r="B6" s="9" t="inlineStr">
        <is>
          <t>管理费/推广费</t>
        </is>
      </c>
      <c r="C6" s="22" t="n">
        <v>400</v>
      </c>
      <c r="D6" s="7" t="inlineStr"/>
    </row>
    <row r="7">
      <c r="B7" s="9" t="inlineStr">
        <is>
          <t>水电费</t>
        </is>
      </c>
      <c r="C7" s="22" t="n">
        <v>500</v>
      </c>
      <c r="D7" s="7" t="inlineStr"/>
    </row>
    <row r="8">
      <c r="B8" s="9" t="inlineStr">
        <is>
          <t>冷气费（如另计）</t>
        </is>
      </c>
      <c r="C8" s="22" t="n">
        <v>200</v>
      </c>
      <c r="D8" s="7" t="inlineStr"/>
    </row>
    <row r="9">
      <c r="B9" s="9" t="inlineStr">
        <is>
          <t>网络/通讯费</t>
        </is>
      </c>
      <c r="C9" s="22" t="n">
        <v>150</v>
      </c>
      <c r="D9" s="7" t="inlineStr"/>
    </row>
    <row r="10">
      <c r="B10" s="9" t="inlineStr">
        <is>
          <t>垃圾处理费/其他杂费</t>
        </is>
      </c>
      <c r="C10" s="22" t="n">
        <v>100</v>
      </c>
      <c r="D10" s="7" t="inlineStr"/>
    </row>
    <row r="11">
      <c r="B11" s="15" t="inlineStr">
        <is>
          <t>小计：1. 场地相关 (文件 3.4)</t>
        </is>
      </c>
      <c r="C11" s="17">
        <f>SUM(C5:C10)</f>
        <v>4850.0</v>
      </c>
    </row>
    <row r="13">
      <c r="B13" s="3" t="inlineStr">
        <is>
          <t>2. 人员成本 (文件 2.16 / 自动引用关键假设)</t>
        </is>
      </c>
    </row>
    <row r="14">
      <c r="B14" s="13" t="inlineStr">
        <is>
          <t>项目</t>
        </is>
      </c>
      <c r="C14" s="13" t="inlineStr">
        <is>
          <t>每月金额 (RM)</t>
        </is>
      </c>
      <c r="D14" s="13" t="inlineStr">
        <is>
          <t>备注</t>
        </is>
      </c>
    </row>
    <row r="15">
      <c r="B15" s="9" t="inlineStr">
        <is>
          <t>员工基本工资</t>
        </is>
      </c>
      <c r="C15" s="14">
        <f>'关键假设'!C41</f>
        <v>2000.0</v>
      </c>
      <c r="D15" s="7" t="inlineStr">
        <is>
          <t>引用关键假设表·员工基本工资</t>
        </is>
      </c>
    </row>
    <row r="16">
      <c r="B16" s="9" t="inlineStr">
        <is>
          <t>EPF/SOCSO/EIS 雇主部分</t>
        </is>
      </c>
      <c r="C16" s="14">
        <f>'关键假设'!C41*'关键假设'!C42</f>
        <v>260.0</v>
      </c>
      <c r="D16" s="7" t="inlineStr">
        <is>
          <t>计算式：工资 × 雇主负担比例</t>
        </is>
      </c>
    </row>
    <row r="17">
      <c r="B17" s="9" t="inlineStr">
        <is>
          <t>销售佣金（估算，实际见现金流预测表按毛利联动）</t>
        </is>
      </c>
      <c r="C17" s="22" t="n">
        <v>300</v>
      </c>
      <c r="D17" s="7" t="inlineStr">
        <is>
          <t>初期估算值，待首月实际毛利数据校正</t>
        </is>
      </c>
    </row>
    <row r="18">
      <c r="B18" s="15" t="inlineStr">
        <is>
          <t>小计：2. 人员成本 (文件 2.16 / 自动引用关键假设)</t>
        </is>
      </c>
      <c r="C18" s="17">
        <f>SUM(C15:C17)</f>
        <v>2560.0</v>
      </c>
    </row>
    <row r="20">
      <c r="B20" s="3" t="inlineStr">
        <is>
          <t>3. 支付渠道手续费（变动成本，随营收自动计算）</t>
        </is>
      </c>
    </row>
    <row r="21">
      <c r="B21" s="13" t="inlineStr">
        <is>
          <t>项目</t>
        </is>
      </c>
      <c r="C21" s="13" t="inlineStr">
        <is>
          <t>每月金额 (RM)</t>
        </is>
      </c>
      <c r="D21" s="13" t="inlineStr">
        <is>
          <t>备注</t>
        </is>
      </c>
    </row>
    <row r="22">
      <c r="B22" s="9" t="inlineStr">
        <is>
          <t>说明：手续费为变动成本，已在「12个月现金流预测」按渠道占比与费率自动计算，此处填0避免重复计算</t>
        </is>
      </c>
      <c r="C22" s="22" t="n">
        <v>0</v>
      </c>
      <c r="D22" s="7" t="inlineStr">
        <is>
          <t>如需查看月度手续费金额，见「12个月现金流预测」表</t>
        </is>
      </c>
    </row>
    <row r="23">
      <c r="B23" s="15" t="inlineStr">
        <is>
          <t>小计：3. 支付渠道手续费（变动成本，随营收自动计算）</t>
        </is>
      </c>
      <c r="C23" s="17">
        <f>SUM(C22:C22)</f>
        <v>0.0</v>
      </c>
    </row>
    <row r="25">
      <c r="B25" s="3" t="inlineStr">
        <is>
          <t>4. 营销与获客 (文件 2.13, 3.15)</t>
        </is>
      </c>
    </row>
    <row r="26">
      <c r="B26" s="13" t="inlineStr">
        <is>
          <t>项目</t>
        </is>
      </c>
      <c r="C26" s="13" t="inlineStr">
        <is>
          <t>每月金额 (RM)</t>
        </is>
      </c>
      <c r="D26" s="13" t="inlineStr">
        <is>
          <t>备注</t>
        </is>
      </c>
    </row>
    <row r="27">
      <c r="B27" s="9" t="inlineStr">
        <is>
          <t>Facebook 广告</t>
        </is>
      </c>
      <c r="C27" s="22" t="n">
        <v>500</v>
      </c>
      <c r="D27" s="7" t="inlineStr"/>
    </row>
    <row r="28">
      <c r="B28" s="9" t="inlineStr">
        <is>
          <t>TikTok 内容/广告</t>
        </is>
      </c>
      <c r="C28" s="22" t="n">
        <v>300</v>
      </c>
      <c r="D28" s="7" t="inlineStr"/>
    </row>
    <row r="29">
      <c r="B29" s="9" t="inlineStr">
        <is>
          <t>开业/促销物料（首3个月后转为常态小额预算）</t>
        </is>
      </c>
      <c r="C29" s="22" t="n">
        <v>200</v>
      </c>
      <c r="D29" s="7" t="inlineStr"/>
    </row>
    <row r="30">
      <c r="B30" s="15" t="inlineStr">
        <is>
          <t>小计：4. 营销与获客 (文件 2.13, 3.15)</t>
        </is>
      </c>
      <c r="C30" s="17">
        <f>SUM(C27:C29)</f>
        <v>1000.0</v>
      </c>
    </row>
    <row r="32">
      <c r="B32" s="3" t="inlineStr">
        <is>
          <t>5. 系统与订阅 (文件 4.3-4.4, 3.11)</t>
        </is>
      </c>
    </row>
    <row r="33">
      <c r="B33" s="13" t="inlineStr">
        <is>
          <t>项目</t>
        </is>
      </c>
      <c r="C33" s="13" t="inlineStr">
        <is>
          <t>每月金额 (RM)</t>
        </is>
      </c>
      <c r="D33" s="13" t="inlineStr">
        <is>
          <t>备注</t>
        </is>
      </c>
    </row>
    <row r="34">
      <c r="B34" s="9" t="inlineStr">
        <is>
          <t>Google Sheets（官方库存/记录方案，免费-约RM300/年按月折算）</t>
        </is>
      </c>
      <c r="C34" s="22" t="n">
        <v>25</v>
      </c>
      <c r="D34" s="7" t="inlineStr">
        <is>
          <t>文件4.4：Decision Log #007已定为免费/低成本方案</t>
        </is>
      </c>
    </row>
    <row r="35">
      <c r="B35" s="9" t="inlineStr">
        <is>
          <t>网站维护/域名/主机</t>
        </is>
      </c>
      <c r="C35" s="22" t="n">
        <v>100</v>
      </c>
      <c r="D35" s="7" t="inlineStr"/>
    </row>
    <row r="36">
      <c r="B36" s="9" t="inlineStr">
        <is>
          <t>WhatsApp Business（免费，如用第三方工具另计）</t>
        </is>
      </c>
      <c r="C36" s="22" t="n">
        <v>0</v>
      </c>
      <c r="D36" s="7" t="inlineStr"/>
    </row>
    <row r="37">
      <c r="B37" s="15" t="inlineStr">
        <is>
          <t>小计：5. 系统与订阅 (文件 4.3-4.4, 3.11)</t>
        </is>
      </c>
      <c r="C37" s="17">
        <f>SUM(C34:C36)</f>
        <v>125.0</v>
      </c>
    </row>
    <row r="39">
      <c r="B39" s="3" t="inlineStr">
        <is>
          <t>6. 售后与风险准备 (文件 2.12, 3.13, 3.14 / 呼应第9章法律缺口)</t>
        </is>
      </c>
    </row>
    <row r="40">
      <c r="B40" s="13" t="inlineStr">
        <is>
          <t>项目</t>
        </is>
      </c>
      <c r="C40" s="13" t="inlineStr">
        <is>
          <t>每月金额 (RM)</t>
        </is>
      </c>
      <c r="D40" s="13" t="inlineStr">
        <is>
          <t>备注</t>
        </is>
      </c>
    </row>
    <row r="41">
      <c r="B41" s="9" t="inlineStr">
        <is>
          <t>维修/售后处理准备金</t>
        </is>
      </c>
      <c r="C41" s="22" t="n">
        <v>300</v>
      </c>
      <c r="D41" s="7" t="inlineStr">
        <is>
          <t>对应外部维修商合作费用及非原厂保修处理</t>
        </is>
      </c>
    </row>
    <row r="42">
      <c r="B42" s="9" t="inlineStr">
        <is>
          <t>保险分摊（如决定购买，见文件3.14）</t>
        </is>
      </c>
      <c r="C42" s="22" t="n">
        <v>0</v>
      </c>
      <c r="D42" s="7" t="inlineStr">
        <is>
          <t>暂不购买，先研究；决定后按年保费/12填入</t>
        </is>
      </c>
    </row>
    <row r="43">
      <c r="B43" s="9" t="inlineStr">
        <is>
          <t>坏账/退换损耗准备（约营收0.5%，估算值）</t>
        </is>
      </c>
      <c r="C43" s="22" t="n">
        <v>150</v>
      </c>
      <c r="D43" s="7" t="inlineStr"/>
    </row>
    <row r="44">
      <c r="B44" s="15" t="inlineStr">
        <is>
          <t>小计：6. 售后与风险准备 (文件 2.12, 3.13, 3.14 / 呼应第9章法律缺口)</t>
        </is>
      </c>
      <c r="C44" s="17">
        <f>SUM(C41:C43)</f>
        <v>450.0</v>
      </c>
    </row>
    <row r="46">
      <c r="B46" s="3" t="inlineStr">
        <is>
          <t>7. 其他行政 (呼应待完成第9章法律与文件)</t>
        </is>
      </c>
    </row>
    <row r="47">
      <c r="B47" s="13" t="inlineStr">
        <is>
          <t>项目</t>
        </is>
      </c>
      <c r="C47" s="13" t="inlineStr">
        <is>
          <t>每月金额 (RM)</t>
        </is>
      </c>
      <c r="D47" s="13" t="inlineStr">
        <is>
          <t>备注</t>
        </is>
      </c>
    </row>
    <row r="48">
      <c r="B48" s="9" t="inlineStr">
        <is>
          <t>会计/记账服务</t>
        </is>
      </c>
      <c r="C48" s="22" t="n">
        <v>250</v>
      </c>
      <c r="D48" s="7" t="inlineStr"/>
    </row>
    <row r="49">
      <c r="B49" s="9" t="inlineStr">
        <is>
          <t>银行手续费/其他行政杂费</t>
        </is>
      </c>
      <c r="C49" s="22" t="n">
        <v>50</v>
      </c>
      <c r="D49" s="7" t="inlineStr"/>
    </row>
    <row r="50">
      <c r="B50" s="9" t="inlineStr">
        <is>
          <t>LHDN e-Invoice / SST 合规预留（未达门槛前可填0）</t>
        </is>
      </c>
      <c r="C50" s="22" t="n">
        <v>0</v>
      </c>
      <c r="D50" s="7" t="inlineStr">
        <is>
          <t>营业额达SST门槛(RM500k)或e-Invoice强制阶段前预留</t>
        </is>
      </c>
    </row>
    <row r="51">
      <c r="B51" s="15" t="inlineStr">
        <is>
          <t>小计：7. 其他行政 (呼应待完成第9章法律与文件)</t>
        </is>
      </c>
      <c r="C51" s="17">
        <f>SUM(C48:C50)</f>
        <v>300.0</v>
      </c>
    </row>
    <row r="54">
      <c r="B54" s="3" t="inlineStr">
        <is>
          <t>OPEX 总计</t>
        </is>
      </c>
    </row>
    <row r="55">
      <c r="B55" s="18" t="inlineStr">
        <is>
          <t>每月固定营运支出总计</t>
        </is>
      </c>
      <c r="C55" s="19">
        <f>C11+C18+C23+C30+C37+C44+C51</f>
        <v>9285.0</v>
      </c>
    </row>
    <row r="56">
      <c r="B56" s="20" t="inlineStr">
        <is>
          <t>建议现金储备（2.5个月固定成本，文件3.5要求2-3个月）</t>
        </is>
      </c>
      <c r="C56" s="21">
        <f>C55*2.5</f>
        <v>23212.5</v>
      </c>
    </row>
  </sheetData>
  <mergeCells count="9">
    <mergeCell ref="A1:D1"/>
    <mergeCell ref="B3:D3"/>
    <mergeCell ref="B46:D46"/>
    <mergeCell ref="B32:D32"/>
    <mergeCell ref="B13:D13"/>
    <mergeCell ref="B39:D39"/>
    <mergeCell ref="B25:D25"/>
    <mergeCell ref="B54:D54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12个月现金流与损益预测（自动引用「关键假设」「OPEX」，月2起按增长率递增）</t>
        </is>
      </c>
    </row>
    <row r="3">
      <c r="A3" s="13" t="inlineStr">
        <is>
          <t>项目</t>
        </is>
      </c>
      <c r="B3" s="13" t="inlineStr">
        <is>
          <t>第1月</t>
        </is>
      </c>
      <c r="C3" s="13" t="inlineStr">
        <is>
          <t>第2月</t>
        </is>
      </c>
      <c r="D3" s="13" t="inlineStr">
        <is>
          <t>第3月</t>
        </is>
      </c>
      <c r="E3" s="13" t="inlineStr">
        <is>
          <t>第4月</t>
        </is>
      </c>
      <c r="F3" s="13" t="inlineStr">
        <is>
          <t>第5月</t>
        </is>
      </c>
      <c r="G3" s="13" t="inlineStr">
        <is>
          <t>第6月</t>
        </is>
      </c>
      <c r="H3" s="13" t="inlineStr">
        <is>
          <t>第7月</t>
        </is>
      </c>
      <c r="I3" s="13" t="inlineStr">
        <is>
          <t>第8月</t>
        </is>
      </c>
      <c r="J3" s="13" t="inlineStr">
        <is>
          <t>第9月</t>
        </is>
      </c>
      <c r="K3" s="13" t="inlineStr">
        <is>
          <t>第10月</t>
        </is>
      </c>
      <c r="L3" s="13" t="inlineStr">
        <is>
          <t>第11月</t>
        </is>
      </c>
      <c r="M3" s="13" t="inlineStr">
        <is>
          <t>第12月</t>
        </is>
      </c>
      <c r="N3" s="13" t="inlineStr">
        <is>
          <t>12月合计</t>
        </is>
      </c>
    </row>
    <row r="4">
      <c r="A4" t="inlineStr">
        <is>
          <t>手机销量（台，月2起按增长率递增）</t>
        </is>
      </c>
      <c r="B4" s="23">
        <f>'关键假设'!C24</f>
        <v>40.0</v>
      </c>
      <c r="C4" s="23">
        <f>B4*(1+'关键假设'!C28)</f>
        <v>41.2</v>
      </c>
      <c r="D4" s="23">
        <f>C4*(1+'关键假设'!C28)</f>
        <v>42.43600000000001</v>
      </c>
      <c r="E4" s="23">
        <f>D4*(1+'关键假设'!C28)</f>
        <v>43.70908000000001</v>
      </c>
      <c r="F4" s="23">
        <f>E4*(1+'关键假设'!C28)</f>
        <v>45.02035240000001</v>
      </c>
      <c r="G4" s="23">
        <f>F4*(1+'关键假设'!C28)</f>
        <v>46.37096297200001</v>
      </c>
      <c r="H4" s="23">
        <f>G4*(1+'关键假设'!C28)</f>
        <v>47.76209186116001</v>
      </c>
      <c r="I4" s="23">
        <f>H4*(1+'关键假设'!C28)</f>
        <v>49.19495461699481</v>
      </c>
      <c r="J4" s="23">
        <f>I4*(1+'关键假设'!C28)</f>
        <v>50.67080325550466</v>
      </c>
      <c r="K4" s="23">
        <f>J4*(1+'关键假设'!C28)</f>
        <v>52.1909273531698</v>
      </c>
      <c r="L4" s="23">
        <f>K4*(1+'关键假设'!C28)</f>
        <v>53.75665517376489</v>
      </c>
      <c r="M4" s="23">
        <f>L4*(1+'关键假设'!C28)</f>
        <v>55.36935482897784</v>
      </c>
      <c r="N4" s="24">
        <f>SUM(B4:M4)</f>
        <v>567.681182461572</v>
      </c>
    </row>
    <row r="5">
      <c r="A5" t="inlineStr">
        <is>
          <t>平均单台售价 (RM)</t>
        </is>
      </c>
      <c r="B5" s="5">
        <f>'关键假设'!C25</f>
        <v>1400.0</v>
      </c>
      <c r="C5" s="5">
        <f>'关键假设'!C25</f>
        <v>1400.0</v>
      </c>
      <c r="D5" s="5">
        <f>'关键假设'!C25</f>
        <v>1400.0</v>
      </c>
      <c r="E5" s="5">
        <f>'关键假设'!C25</f>
        <v>1400.0</v>
      </c>
      <c r="F5" s="5">
        <f>'关键假设'!C25</f>
        <v>1400.0</v>
      </c>
      <c r="G5" s="5">
        <f>'关键假设'!C25</f>
        <v>1400.0</v>
      </c>
      <c r="H5" s="5">
        <f>'关键假设'!C25</f>
        <v>1400.0</v>
      </c>
      <c r="I5" s="5">
        <f>'关键假设'!C25</f>
        <v>1400.0</v>
      </c>
      <c r="J5" s="5">
        <f>'关键假设'!C25</f>
        <v>1400.0</v>
      </c>
      <c r="K5" s="5">
        <f>'关键假设'!C25</f>
        <v>1400.0</v>
      </c>
      <c r="L5" s="5">
        <f>'关键假设'!C25</f>
        <v>1400.0</v>
      </c>
      <c r="M5" s="5">
        <f>'关键假设'!C25</f>
        <v>1400.0</v>
      </c>
    </row>
    <row r="6">
      <c r="A6" t="inlineStr">
        <is>
          <t>手机销售额 (RM)</t>
        </is>
      </c>
      <c r="B6" s="5">
        <f>B4*B5</f>
        <v>56000.0</v>
      </c>
      <c r="C6" s="5">
        <f>C4*C5</f>
        <v>57680.00000000001</v>
      </c>
      <c r="D6" s="5">
        <f>D4*D5</f>
        <v>59410.40000000001</v>
      </c>
      <c r="E6" s="5">
        <f>E4*E5</f>
        <v>61192.71200000001</v>
      </c>
      <c r="F6" s="5">
        <f>F4*F5</f>
        <v>63028.49336000001</v>
      </c>
      <c r="G6" s="5">
        <f>G4*G5</f>
        <v>64919.348160800015</v>
      </c>
      <c r="H6" s="5">
        <f>H4*H5</f>
        <v>66866.92860562401</v>
      </c>
      <c r="I6" s="5">
        <f>I4*I5</f>
        <v>68872.93646379274</v>
      </c>
      <c r="J6" s="5">
        <f>J4*J5</f>
        <v>70939.12455770653</v>
      </c>
      <c r="K6" s="5">
        <f>K4*K5</f>
        <v>73067.29829443771</v>
      </c>
      <c r="L6" s="5">
        <f>L4*L5</f>
        <v>75259.31724327085</v>
      </c>
      <c r="M6" s="5">
        <f>M4*M5</f>
        <v>77517.09676056898</v>
      </c>
      <c r="N6" s="25">
        <f>SUM(B6:M6)</f>
        <v>794753.6554462009</v>
      </c>
    </row>
    <row r="7">
      <c r="A7" t="inlineStr">
        <is>
          <t>配件订单数</t>
        </is>
      </c>
      <c r="B7" s="23">
        <f>'关键假设'!C26</f>
        <v>150.0</v>
      </c>
      <c r="C7" s="23">
        <f>B7*(1+'关键假设'!C28)</f>
        <v>154.5</v>
      </c>
      <c r="D7" s="23">
        <f>C7*(1+'关键假设'!C28)</f>
        <v>159.135</v>
      </c>
      <c r="E7" s="23">
        <f>D7*(1+'关键假设'!C28)</f>
        <v>163.90905</v>
      </c>
      <c r="F7" s="23">
        <f>E7*(1+'关键假设'!C28)</f>
        <v>168.8263215</v>
      </c>
      <c r="G7" s="23">
        <f>F7*(1+'关键假设'!C28)</f>
        <v>173.891111145</v>
      </c>
      <c r="H7" s="23">
        <f>G7*(1+'关键假设'!C28)</f>
        <v>179.10784447935</v>
      </c>
      <c r="I7" s="23">
        <f>H7*(1+'关键假设'!C28)</f>
        <v>184.4810798137305</v>
      </c>
      <c r="J7" s="23">
        <f>I7*(1+'关键假设'!C28)</f>
        <v>190.0155122081424</v>
      </c>
      <c r="K7" s="23">
        <f>J7*(1+'关键假设'!C28)</f>
        <v>195.7159775743867</v>
      </c>
      <c r="L7" s="23">
        <f>K7*(1+'关键假设'!C28)</f>
        <v>201.5874569016183</v>
      </c>
      <c r="M7" s="23">
        <f>L7*(1+'关键假设'!C28)</f>
        <v>207.63508060866687</v>
      </c>
      <c r="N7" s="24">
        <f>SUM(B7:M7)</f>
        <v>2128.804434230895</v>
      </c>
    </row>
    <row r="8">
      <c r="A8" t="inlineStr">
        <is>
          <t>配件平均客单价 (RM)</t>
        </is>
      </c>
      <c r="B8" s="5">
        <f>'关键假设'!C27</f>
        <v>45.0</v>
      </c>
      <c r="C8" s="5">
        <f>'关键假设'!C27</f>
        <v>45.0</v>
      </c>
      <c r="D8" s="5">
        <f>'关键假设'!C27</f>
        <v>45.0</v>
      </c>
      <c r="E8" s="5">
        <f>'关键假设'!C27</f>
        <v>45.0</v>
      </c>
      <c r="F8" s="5">
        <f>'关键假设'!C27</f>
        <v>45.0</v>
      </c>
      <c r="G8" s="5">
        <f>'关键假设'!C27</f>
        <v>45.0</v>
      </c>
      <c r="H8" s="5">
        <f>'关键假设'!C27</f>
        <v>45.0</v>
      </c>
      <c r="I8" s="5">
        <f>'关键假设'!C27</f>
        <v>45.0</v>
      </c>
      <c r="J8" s="5">
        <f>'关键假设'!C27</f>
        <v>45.0</v>
      </c>
      <c r="K8" s="5">
        <f>'关键假设'!C27</f>
        <v>45.0</v>
      </c>
      <c r="L8" s="5">
        <f>'关键假设'!C27</f>
        <v>45.0</v>
      </c>
      <c r="M8" s="5">
        <f>'关键假设'!C27</f>
        <v>45.0</v>
      </c>
    </row>
    <row r="9">
      <c r="A9" t="inlineStr">
        <is>
          <t>配件销售额 (RM)</t>
        </is>
      </c>
      <c r="B9" s="5">
        <f>B7*B8</f>
        <v>6750.0</v>
      </c>
      <c r="C9" s="5">
        <f>C7*C8</f>
        <v>6952.5</v>
      </c>
      <c r="D9" s="5">
        <f>D7*D8</f>
        <v>7161.075</v>
      </c>
      <c r="E9" s="5">
        <f>E7*E8</f>
        <v>7375.90725</v>
      </c>
      <c r="F9" s="5">
        <f>F7*F8</f>
        <v>7597.1844675</v>
      </c>
      <c r="G9" s="5">
        <f>G7*G8</f>
        <v>7825.100001525</v>
      </c>
      <c r="H9" s="5">
        <f>H7*H8</f>
        <v>8059.85300157075</v>
      </c>
      <c r="I9" s="5">
        <f>I7*I8</f>
        <v>8301.648591617872</v>
      </c>
      <c r="J9" s="5">
        <f>J7*J8</f>
        <v>8550.698049366409</v>
      </c>
      <c r="K9" s="5">
        <f>K7*K8</f>
        <v>8807.218990847401</v>
      </c>
      <c r="L9" s="5">
        <f>L7*L8</f>
        <v>9071.435560572823</v>
      </c>
      <c r="M9" s="5">
        <f>M7*M8</f>
        <v>9343.578627390008</v>
      </c>
      <c r="N9" s="25">
        <f>SUM(B9:M9)</f>
        <v>95796.19954039025</v>
      </c>
    </row>
    <row r="10">
      <c r="A10" s="26" t="inlineStr">
        <is>
          <t>总营收 (RM)</t>
        </is>
      </c>
      <c r="B10" s="17">
        <f>B6+B9</f>
        <v>62750.0</v>
      </c>
      <c r="C10" s="17">
        <f>C6+C9</f>
        <v>64632.50000000001</v>
      </c>
      <c r="D10" s="17">
        <f>D6+D9</f>
        <v>66571.475</v>
      </c>
      <c r="E10" s="17">
        <f>E6+E9</f>
        <v>68568.61925</v>
      </c>
      <c r="F10" s="17">
        <f>F6+F9</f>
        <v>70625.67782750001</v>
      </c>
      <c r="G10" s="17">
        <f>G6+G9</f>
        <v>72744.44816232502</v>
      </c>
      <c r="H10" s="17">
        <f>H6+H9</f>
        <v>74926.78160719476</v>
      </c>
      <c r="I10" s="17">
        <f>I6+I9</f>
        <v>77174.5850554106</v>
      </c>
      <c r="J10" s="17">
        <f>J6+J9</f>
        <v>79489.82260707294</v>
      </c>
      <c r="K10" s="17">
        <f>K6+K9</f>
        <v>81874.51728528511</v>
      </c>
      <c r="L10" s="17">
        <f>L6+L9</f>
        <v>84330.75280384367</v>
      </c>
      <c r="M10" s="17">
        <f>M6+M9</f>
        <v>86860.675387959</v>
      </c>
      <c r="N10" s="25">
        <f>SUM(B10:M10)</f>
        <v>890549.8549865913</v>
      </c>
    </row>
    <row r="11">
      <c r="A11" t="inlineStr">
        <is>
          <t>估算毛利 (RM)  新机/二手机/配件加权</t>
        </is>
      </c>
      <c r="B11" s="5">
        <f>(B6*(('关键假设'!C8/('关键假设'!C8+'关键假设'!C9))*'关键假设'!C13+('关键假设'!C9/('关键假设'!C8+'关键假设'!C9))*'关键假设'!C14))+(B9*'关键假设'!C15)</f>
        <v>10400.0</v>
      </c>
      <c r="C11" s="5">
        <f>(C6*(('关键假设'!C8/('关键假设'!C8+'关键假设'!C9))*'关键假设'!C13+('关键假设'!C9/('关键假设'!C8+'关键假设'!C9))*'关键假设'!C14))+(C9*'关键假设'!C15)</f>
        <v>10712.000000000002</v>
      </c>
      <c r="D11" s="5">
        <f>(D6*(('关键假设'!C8/('关键假设'!C8+'关键假设'!C9))*'关键假设'!C13+('关键假设'!C9/('关键假设'!C8+'关键假设'!C9))*'关键假设'!C14))+(D9*'关键假设'!C15)</f>
        <v>11033.360000000002</v>
      </c>
      <c r="E11" s="5">
        <f>(E6*(('关键假设'!C8/('关键假设'!C8+'关键假设'!C9))*'关键假设'!C13+('关键假设'!C9/('关键假设'!C8+'关键假设'!C9))*'关键假设'!C14))+(E9*'关键假设'!C15)</f>
        <v>11364.360800000002</v>
      </c>
      <c r="F11" s="5">
        <f>(F6*(('关键假设'!C8/('关键假设'!C8+'关键假设'!C9))*'关键假设'!C13+('关键假设'!C9/('关键假设'!C8+'关键假设'!C9))*'关键假设'!C14))+(F9*'关键假设'!C15)</f>
        <v>11705.291624000001</v>
      </c>
      <c r="G11" s="5">
        <f>(G6*(('关键假设'!C8/('关键假设'!C8+'关键假设'!C9))*'关键假设'!C13+('关键假设'!C9/('关键假设'!C8+'关键假设'!C9))*'关键假设'!C14))+(G9*'关键假设'!C15)</f>
        <v>12056.450372720003</v>
      </c>
      <c r="H11" s="5">
        <f>(H6*(('关键假设'!C8/('关键假设'!C8+'关键假设'!C9))*'关键假设'!C13+('关键假设'!C9/('关键假设'!C8+'关键假设'!C9))*'关键假设'!C14))+(H9*'关键假设'!C15)</f>
        <v>12418.143883901603</v>
      </c>
      <c r="I11" s="5">
        <f>(I6*(('关键假设'!C8/('关键假设'!C8+'关键假设'!C9))*'关键假设'!C13+('关键假设'!C9/('关键假设'!C8+'关键假设'!C9))*'关键假设'!C14))+(I9*'关键假设'!C15)</f>
        <v>12790.688200418652</v>
      </c>
      <c r="J11" s="5">
        <f>(J6*(('关键假设'!C8/('关键假设'!C8+'关键假设'!C9))*'关键假设'!C13+('关键假设'!C9/('关键假设'!C8+'关键假设'!C9))*'关键假设'!C14))+(J9*'关键假设'!C15)</f>
        <v>13174.408846431212</v>
      </c>
      <c r="K11" s="5">
        <f>(K6*(('关键假设'!C8/('关键假设'!C8+'关键假设'!C9))*'关键假设'!C13+('关键假设'!C9/('关键假设'!C8+'关键假设'!C9))*'关键假设'!C14))+(K9*'关键假设'!C15)</f>
        <v>13569.641111824147</v>
      </c>
      <c r="L11" s="5">
        <f>(L6*(('关键假设'!C8/('关键假设'!C8+'关键假设'!C9))*'关键假设'!C13+('关键假设'!C9/('关键假设'!C8+'关键假设'!C9))*'关键假设'!C14))+(L9*'关键假设'!C15)</f>
        <v>13976.730345178872</v>
      </c>
      <c r="M11" s="5">
        <f>(M6*(('关键假设'!C8/('关键假设'!C8+'关键假设'!C9))*'关键假设'!C13+('关键假设'!C9/('关键假设'!C8+'关键假设'!C9))*'关键假设'!C14))+(M9*'关键假设'!C15)</f>
        <v>14396.032255534239</v>
      </c>
      <c r="N11" s="25">
        <f>SUM(B11:M11)</f>
        <v>147597.10744000872</v>
      </c>
    </row>
    <row r="12">
      <c r="A12" t="inlineStr">
        <is>
          <t>支付手续费 (RM)</t>
        </is>
      </c>
      <c r="B12" s="5">
        <f>B10*('关键假设'!C32*'关键假设'!C35+'关键假设'!C33*'关键假设'!C36+'关键假设'!C34*'关键假设'!C37)</f>
        <v>831.4375</v>
      </c>
      <c r="C12" s="5">
        <f>C10*('关键假设'!C32*'关键假设'!C35+'关键假设'!C33*'关键假设'!C36+'关键假设'!C34*'关键假设'!C37)</f>
        <v>856.3806250000001</v>
      </c>
      <c r="D12" s="5">
        <f>D10*('关键假设'!C32*'关键假设'!C35+'关键假设'!C33*'关键假设'!C36+'关键假设'!C34*'关键假设'!C37)</f>
        <v>882.07204375</v>
      </c>
      <c r="E12" s="5">
        <f>E10*('关键假设'!C32*'关键假设'!C35+'关键假设'!C33*'关键假设'!C36+'关键假设'!C34*'关键假设'!C37)</f>
        <v>908.5342050625001</v>
      </c>
      <c r="F12" s="5">
        <f>F10*('关键假设'!C32*'关键假设'!C35+'关键假设'!C33*'关键假设'!C36+'关键假设'!C34*'关键假设'!C37)</f>
        <v>935.7902312143751</v>
      </c>
      <c r="G12" s="5">
        <f>G10*('关键假设'!C32*'关键假设'!C35+'关键假设'!C33*'关键假设'!C36+'关键假设'!C34*'关键假设'!C37)</f>
        <v>963.8639381508065</v>
      </c>
      <c r="H12" s="5">
        <f>H10*('关键假设'!C32*'关键假设'!C35+'关键假设'!C33*'关键假设'!C36+'关键假设'!C34*'关键假设'!C37)</f>
        <v>992.7798562953305</v>
      </c>
      <c r="I12" s="5">
        <f>I10*('关键假设'!C32*'关键假设'!C35+'关键假设'!C33*'关键假设'!C36+'关键假设'!C34*'关键假设'!C37)</f>
        <v>1022.5632519841904</v>
      </c>
      <c r="J12" s="5">
        <f>J10*('关键假设'!C32*'关键假设'!C35+'关键假设'!C33*'关键假设'!C36+'关键假设'!C34*'关键假设'!C37)</f>
        <v>1053.2401495437164</v>
      </c>
      <c r="K12" s="5">
        <f>K10*('关键假设'!C32*'关键假设'!C35+'关键假设'!C33*'关键假设'!C36+'关键假设'!C34*'关键假设'!C37)</f>
        <v>1084.8373540300277</v>
      </c>
      <c r="L12" s="5">
        <f>L10*('关键假设'!C32*'关键假设'!C35+'关键假设'!C33*'关键假设'!C36+'关键假设'!C34*'关键假设'!C37)</f>
        <v>1117.3824746509285</v>
      </c>
      <c r="M12" s="5">
        <f>M10*('关键假设'!C32*'关键假设'!C35+'关键假设'!C33*'关键假设'!C36+'关键假设'!C34*'关键假设'!C37)</f>
        <v>1150.9039488904566</v>
      </c>
      <c r="N12" s="25">
        <f>SUM(B12:M12)</f>
        <v>11799.785578572333</v>
      </c>
    </row>
    <row r="13">
      <c r="A13" t="inlineStr">
        <is>
          <t>每月固定营运支出 OPEX (RM)</t>
        </is>
      </c>
      <c r="B13" s="5">
        <f>'OPEX 每月营运支出'!C55</f>
        <v>9285.0</v>
      </c>
      <c r="C13" s="5">
        <f>'OPEX 每月营运支出'!C55</f>
        <v>9285.0</v>
      </c>
      <c r="D13" s="5">
        <f>'OPEX 每月营运支出'!C55</f>
        <v>9285.0</v>
      </c>
      <c r="E13" s="5">
        <f>'OPEX 每月营运支出'!C55</f>
        <v>9285.0</v>
      </c>
      <c r="F13" s="5">
        <f>'OPEX 每月营运支出'!C55</f>
        <v>9285.0</v>
      </c>
      <c r="G13" s="5">
        <f>'OPEX 每月营运支出'!C55</f>
        <v>9285.0</v>
      </c>
      <c r="H13" s="5">
        <f>'OPEX 每月营运支出'!C55</f>
        <v>9285.0</v>
      </c>
      <c r="I13" s="5">
        <f>'OPEX 每月营运支出'!C55</f>
        <v>9285.0</v>
      </c>
      <c r="J13" s="5">
        <f>'OPEX 每月营运支出'!C55</f>
        <v>9285.0</v>
      </c>
      <c r="K13" s="5">
        <f>'OPEX 每月营运支出'!C55</f>
        <v>9285.0</v>
      </c>
      <c r="L13" s="5">
        <f>'OPEX 每月营运支出'!C55</f>
        <v>9285.0</v>
      </c>
      <c r="M13" s="5">
        <f>'OPEX 每月营运支出'!C55</f>
        <v>9285.0</v>
      </c>
      <c r="N13" s="25">
        <f>SUM(B13:M13)</f>
        <v>111420.0</v>
      </c>
    </row>
    <row r="14">
      <c r="A14" t="inlineStr">
        <is>
          <t>销售佣金 (毛利的比例)</t>
        </is>
      </c>
      <c r="B14" s="5">
        <f>B11*'关键假设'!C43</f>
        <v>312.0</v>
      </c>
      <c r="C14" s="5">
        <f>C11*'关键假设'!C43</f>
        <v>321.36000000000007</v>
      </c>
      <c r="D14" s="5">
        <f>D11*'关键假设'!C43</f>
        <v>331.0008000000001</v>
      </c>
      <c r="E14" s="5">
        <f>E11*'关键假设'!C43</f>
        <v>340.93082400000003</v>
      </c>
      <c r="F14" s="5">
        <f>F11*'关键假设'!C43</f>
        <v>351.15874872</v>
      </c>
      <c r="G14" s="5">
        <f>G11*'关键假设'!C43</f>
        <v>361.69351118160006</v>
      </c>
      <c r="H14" s="5">
        <f>H11*'关键假设'!C43</f>
        <v>372.54431651704806</v>
      </c>
      <c r="I14" s="5">
        <f>I11*'关键假设'!C43</f>
        <v>383.72064601255954</v>
      </c>
      <c r="J14" s="5">
        <f>J11*'关键假设'!C43</f>
        <v>395.2322653929363</v>
      </c>
      <c r="K14" s="5">
        <f>K11*'关键假设'!C43</f>
        <v>407.0892333547244</v>
      </c>
      <c r="L14" s="5">
        <f>L11*'关键假设'!C43</f>
        <v>419.30191035536615</v>
      </c>
      <c r="M14" s="5">
        <f>M11*'关键假设'!C43</f>
        <v>431.8809676660272</v>
      </c>
      <c r="N14" s="25">
        <f>SUM(B14:M14)</f>
        <v>4427.913223200262</v>
      </c>
    </row>
    <row r="15">
      <c r="A15" s="26" t="inlineStr">
        <is>
          <t>净利润 (RM) = 毛利 − 手续费 − OPEX − 佣金</t>
        </is>
      </c>
      <c r="B15" s="17">
        <f>B11-B12-B13-B14</f>
        <v>-28.4375</v>
      </c>
      <c r="C15" s="17">
        <f>C11-C12-C13-C14</f>
        <v>249.25937500000197</v>
      </c>
      <c r="D15" s="17">
        <f>D11-D12-D13-D14</f>
        <v>535.287156250002</v>
      </c>
      <c r="E15" s="17">
        <f>E11-E12-E13-E14</f>
        <v>829.8957709375018</v>
      </c>
      <c r="F15" s="17">
        <f>F11-F12-F13-F14</f>
        <v>1133.3426440656272</v>
      </c>
      <c r="G15" s="17">
        <f>G11-G12-G13-G14</f>
        <v>1445.8929233875951</v>
      </c>
      <c r="H15" s="17">
        <f>H11-H12-H13-H14</f>
        <v>1767.8197110892243</v>
      </c>
      <c r="I15" s="17">
        <f>I11-I12-I13-I14</f>
        <v>2099.4043024219013</v>
      </c>
      <c r="J15" s="17">
        <f>J11-J12-J13-J14</f>
        <v>2440.9364314945583</v>
      </c>
      <c r="K15" s="17">
        <f>K11-K12-K13-K14</f>
        <v>2792.714524439395</v>
      </c>
      <c r="L15" s="17">
        <f>L11-L12-L13-L14</f>
        <v>3155.045960172577</v>
      </c>
      <c r="M15" s="17">
        <f>M11-M12-M13-M14</f>
        <v>3528.2473389777556</v>
      </c>
      <c r="N15" s="25">
        <f>SUM(B15:M15)</f>
        <v>19949.40863823614</v>
      </c>
    </row>
    <row r="16">
      <c r="A16" t="inlineStr">
        <is>
          <t>累计净现金流 (RM，起点为0，未计CAPEX)</t>
        </is>
      </c>
      <c r="B16" s="5">
        <f>B15</f>
        <v>-28.4375</v>
      </c>
      <c r="C16" s="5">
        <f>B16+C15</f>
        <v>220.82187500000197</v>
      </c>
      <c r="D16" s="5">
        <f>C16+D15</f>
        <v>756.1090312500039</v>
      </c>
      <c r="E16" s="5">
        <f>D16+E15</f>
        <v>1586.0048021875057</v>
      </c>
      <c r="F16" s="5">
        <f>E16+F15</f>
        <v>2719.347446253133</v>
      </c>
      <c r="G16" s="5">
        <f>F16+G15</f>
        <v>4165.240369640728</v>
      </c>
      <c r="H16" s="5">
        <f>G16+H15</f>
        <v>5933.0600807299525</v>
      </c>
      <c r="I16" s="5">
        <f>H16+I15</f>
        <v>8032.464383151853</v>
      </c>
      <c r="J16" s="5">
        <f>I16+J15</f>
        <v>10473.400814646411</v>
      </c>
      <c r="K16" s="5">
        <f>J16+K15</f>
        <v>13266.115339085805</v>
      </c>
      <c r="L16" s="5">
        <f>K16+L15</f>
        <v>16421.161299258383</v>
      </c>
      <c r="M16" s="5">
        <f>L16+M15</f>
        <v>19949.40863823614</v>
      </c>
    </row>
    <row r="18">
      <c r="A18" s="27" t="inlineStr">
        <is>
          <t>Decision Log #024 验证标准：连续3个月净利润&gt;0 且累计净现金流为正</t>
        </is>
      </c>
    </row>
  </sheetData>
  <mergeCells count="2">
    <mergeCell ref="A18:N18"/>
    <mergeCell ref="A1:N1"/>
  </mergeCells>
  <conditionalFormatting sqref="B15:M1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B16:N16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2026-07-02T06:07:03Z</dcterms:created>
  <dcterms:modified xsi:type="dcterms:W3CDTF">2026-07-02T06:07:03Z</dcterms:modified>
</cp:coreProperties>
</file>
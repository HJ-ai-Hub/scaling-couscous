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APEX Summary" sheetId="2" state="visible" r:id="rId2"/>
    <sheet name="CAPEX Detail" sheetId="3" state="visible" r:id="rId3"/>
    <sheet name="Unit Setup (1 Unit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-"/>
    <numFmt numFmtId="165" formatCode="0.0%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sz val="10"/>
    </font>
    <font>
      <name val="Arial"/>
      <sz val="10"/>
    </font>
    <font>
      <name val="Arial"/>
      <b val="1"/>
      <color rgb="000000FF"/>
      <sz val="10"/>
    </font>
    <font>
      <name val="Arial"/>
      <b val="1"/>
      <color rgb="00008000"/>
      <sz val="10"/>
    </font>
    <font>
      <name val="Arial"/>
      <color rgb="000000FF"/>
      <sz val="10"/>
    </font>
    <font>
      <name val="Arial"/>
      <i val="1"/>
      <color rgb="00595959"/>
      <sz val="8"/>
    </font>
    <font>
      <name val="Arial"/>
      <b val="1"/>
      <color rgb="00FFFFFF"/>
      <sz val="11"/>
    </font>
    <font>
      <name val="Arial"/>
      <color rgb="00008000"/>
      <sz val="10"/>
    </font>
    <font>
      <name val="Arial"/>
      <b val="1"/>
      <sz val="9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F3352"/>
      </patternFill>
    </fill>
    <fill>
      <patternFill patternType="solid">
        <fgColor rgb="0041597A"/>
      </patternFill>
    </fill>
    <fill>
      <patternFill patternType="solid">
        <fgColor rgb="006B7F99"/>
      </patternFill>
    </fill>
    <fill>
      <patternFill patternType="solid">
        <fgColor rgb="00FFFF00"/>
      </patternFill>
    </fill>
    <fill>
      <patternFill patternType="solid">
        <fgColor rgb="00DCE3EC"/>
      </patternFill>
    </fill>
    <fill>
      <patternFill patternType="solid">
        <fgColor rgb="00EDE7DC"/>
      </patternFill>
    </fill>
  </fills>
  <borders count="3">
    <border>
      <left/>
      <right/>
      <top/>
      <bottom/>
      <diagonal/>
    </border>
    <border>
      <bottom style="thin">
        <color rgb="00C7B99A"/>
      </bottom>
    </border>
    <border>
      <top style="medium">
        <color rgb="001F3352"/>
      </top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2" borderId="0" applyAlignment="1" pivotButton="0" quotePrefix="0" xfId="0">
      <alignment vertical="center" indent="1"/>
    </xf>
    <xf numFmtId="0" fontId="3" fillId="3" borderId="0" applyAlignment="1" pivotButton="0" quotePrefix="0" xfId="0">
      <alignment vertical="center" indent="1"/>
    </xf>
    <xf numFmtId="0" fontId="0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5" fillId="5" borderId="0" pivotButton="0" quotePrefix="0" xfId="0"/>
    <xf numFmtId="0" fontId="8" fillId="0" borderId="0" pivotButton="0" quotePrefix="0" xfId="0"/>
    <xf numFmtId="0" fontId="4" fillId="4" borderId="0" applyAlignment="1" pivotButton="0" quotePrefix="0" xfId="0">
      <alignment horizontal="center" vertical="center" wrapText="1"/>
    </xf>
    <xf numFmtId="0" fontId="6" fillId="0" borderId="1" pivotButton="0" quotePrefix="0" xfId="0"/>
    <xf numFmtId="164" fontId="12" fillId="0" borderId="1" pivotButton="0" quotePrefix="0" xfId="0"/>
    <xf numFmtId="165" fontId="6" fillId="0" borderId="1" applyAlignment="1" pivotButton="0" quotePrefix="0" xfId="0">
      <alignment horizontal="center"/>
    </xf>
    <xf numFmtId="0" fontId="10" fillId="0" borderId="1" applyAlignment="1" pivotButton="0" quotePrefix="0" xfId="0">
      <alignment vertical="top" wrapText="1"/>
    </xf>
    <xf numFmtId="0" fontId="10" fillId="0" borderId="1" pivotButton="0" quotePrefix="0" xfId="0"/>
    <xf numFmtId="0" fontId="11" fillId="3" borderId="0" pivotButton="0" quotePrefix="0" xfId="0"/>
    <xf numFmtId="164" fontId="11" fillId="3" borderId="0" pivotButton="0" quotePrefix="0" xfId="0"/>
    <xf numFmtId="165" fontId="11" fillId="3" borderId="0" applyAlignment="1" pivotButton="0" quotePrefix="0" xfId="0">
      <alignment horizontal="center"/>
    </xf>
    <xf numFmtId="0" fontId="14" fillId="0" borderId="0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9" fillId="0" borderId="1" applyAlignment="1" pivotButton="0" quotePrefix="0" xfId="0">
      <alignment horizontal="center"/>
    </xf>
    <xf numFmtId="164" fontId="9" fillId="0" borderId="1" pivotButton="0" quotePrefix="0" xfId="0"/>
    <xf numFmtId="164" fontId="6" fillId="0" borderId="1" pivotButton="0" quotePrefix="0" xfId="0"/>
    <xf numFmtId="0" fontId="6" fillId="0" borderId="1" applyAlignment="1" pivotButton="0" quotePrefix="0" xfId="0">
      <alignment horizontal="center" wrapText="1"/>
    </xf>
    <xf numFmtId="164" fontId="9" fillId="5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0" fillId="6" borderId="2" pivotButton="0" quotePrefix="0" xfId="0"/>
    <xf numFmtId="0" fontId="5" fillId="6" borderId="2" pivotButton="0" quotePrefix="0" xfId="0"/>
    <xf numFmtId="164" fontId="5" fillId="6" borderId="2" pivotButton="0" quotePrefix="0" xfId="0"/>
    <xf numFmtId="164" fontId="12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5" fontId="9" fillId="5" borderId="0" applyAlignment="1" pivotButton="0" quotePrefix="0" xfId="0">
      <alignment horizontal="center"/>
    </xf>
    <xf numFmtId="164" fontId="6" fillId="0" borderId="0" pivotButton="0" quotePrefix="0" xfId="0"/>
    <xf numFmtId="0" fontId="13" fillId="0" borderId="0" pivotButton="0" quotePrefix="0" xfId="0"/>
    <xf numFmtId="164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4" fillId="4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7" borderId="0" applyAlignment="1" pivotButton="0" quotePrefix="0" xfId="0">
      <alignment horizontal="center"/>
    </xf>
    <xf numFmtId="164" fontId="6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6" customHeight="1">
      <c r="A1" s="1" t="inlineStr">
        <is>
          <t>ORIZURU HOLIDAY HOMES LLC — CAPITAL EXPENDITURE (CAPEX)</t>
        </is>
      </c>
      <c r="B1" s="2" t="n"/>
      <c r="C1" s="2" t="n"/>
      <c r="D1" s="2" t="n"/>
      <c r="E1" s="2" t="n"/>
      <c r="F1" s="2" t="n"/>
    </row>
    <row r="2" ht="16" customHeight="1">
      <c r="A2" s="3" t="inlineStr">
        <is>
          <t>Dubai, UAE  |  Trade Licence 1634278  |  All figures in AED</t>
        </is>
      </c>
      <c r="B2" s="2" t="n"/>
      <c r="C2" s="2" t="n"/>
      <c r="D2" s="2" t="n"/>
      <c r="E2" s="2" t="n"/>
      <c r="F2" s="2" t="n"/>
    </row>
    <row r="5" ht="18" customHeight="1">
      <c r="A5" s="4" t="inlineStr">
        <is>
          <t>HOW TO USE THIS WORKBOOK</t>
        </is>
      </c>
      <c r="B5" s="5" t="n"/>
      <c r="C5" s="5" t="n"/>
      <c r="D5" s="5" t="n"/>
      <c r="E5" s="5" t="n"/>
      <c r="F5" s="5" t="n"/>
    </row>
    <row r="6">
      <c r="A6" s="6" t="inlineStr">
        <is>
          <t>Tab</t>
        </is>
      </c>
      <c r="B6" s="6" t="inlineStr">
        <is>
          <t>What it contains</t>
        </is>
      </c>
      <c r="C6" s="7" t="n"/>
      <c r="D6" s="7" t="n"/>
      <c r="E6" s="7" t="n"/>
      <c r="F6" s="7" t="n"/>
    </row>
    <row r="7" ht="14" customHeight="1">
      <c r="A7" s="8" t="inlineStr">
        <is>
          <t>CAPEX Detail</t>
        </is>
      </c>
      <c r="B7" s="9" t="inlineStr">
        <is>
          <t>Every one-off setup cost, line by line, at Low / Base / High. This is the main sheet.</t>
        </is>
      </c>
    </row>
    <row r="8" ht="14" customHeight="1">
      <c r="A8" s="8" t="inlineStr">
        <is>
          <t>Unit Setup (1 Unit)</t>
        </is>
      </c>
      <c r="B8" s="9" t="inlineStr">
        <is>
          <t>Cost to bring ONE holiday-home unit live, plus a scaling table (x1 to x80).</t>
        </is>
      </c>
    </row>
    <row r="9" ht="14" customHeight="1">
      <c r="A9" s="8" t="inlineStr">
        <is>
          <t>CAPEX Summary</t>
        </is>
      </c>
      <c r="B9" s="9" t="inlineStr">
        <is>
          <t>Category roll-up and funding view. Reads from the two sheets above.</t>
        </is>
      </c>
    </row>
    <row r="11" ht="18" customHeight="1">
      <c r="A11" s="4" t="inlineStr">
        <is>
          <t>MODEL BASIS — CONFIRMED WITH HJ</t>
        </is>
      </c>
      <c r="B11" s="5" t="n"/>
      <c r="C11" s="5" t="n"/>
      <c r="D11" s="5" t="n"/>
      <c r="E11" s="5" t="n"/>
      <c r="F11" s="5" t="n"/>
    </row>
    <row r="12" ht="26" customHeight="1">
      <c r="A12" s="8" t="inlineStr">
        <is>
          <t>1.</t>
        </is>
      </c>
      <c r="B12" s="9" t="inlineStr">
        <is>
          <t>Pure management / commission-only model. Orizuru does NOT master-lease units, so there is NO unit rent, DEWA deposit or furnishing capex per unit — those sit with the property owner.</t>
        </is>
      </c>
    </row>
    <row r="13" ht="39" customHeight="1">
      <c r="A13" s="8" t="inlineStr">
        <is>
          <t>2.</t>
        </is>
      </c>
      <c r="B13" s="9" t="inlineStr">
        <is>
          <t>Unit setup CAPEX is sized for ONE unit only. The scaling table on 'Unit Setup' shows the cost if the portfolio is rolled out to 5 / 10 / 25 / 50 / 80 units, but nothing is scaled by default.</t>
        </is>
      </c>
    </row>
    <row r="14" ht="26" customHeight="1">
      <c r="A14" s="8" t="inlineStr">
        <is>
          <t>3.</t>
        </is>
      </c>
      <c r="B14" s="9" t="inlineStr">
        <is>
          <t>The AED 2,000,000 shareholder capital in the Business Profile is NOT used as a target or a cap. This CAPEX is built bottom-up from what the business actually needs.</t>
        </is>
      </c>
    </row>
    <row r="15" ht="14" customHeight="1">
      <c r="A15" s="8" t="inlineStr">
        <is>
          <t>4.</t>
        </is>
      </c>
      <c r="B15" s="9" t="inlineStr">
        <is>
          <t>Directors draw no salary. See the OPEX workbook.</t>
        </is>
      </c>
    </row>
    <row r="17" ht="18" customHeight="1">
      <c r="A17" s="4" t="inlineStr">
        <is>
          <t>COLOUR LEGEND</t>
        </is>
      </c>
      <c r="B17" s="5" t="n"/>
      <c r="C17" s="5" t="n"/>
      <c r="D17" s="5" t="n"/>
      <c r="E17" s="5" t="n"/>
      <c r="F17" s="5" t="n"/>
    </row>
    <row r="18" ht="14" customHeight="1">
      <c r="A18" s="10" t="inlineStr">
        <is>
          <t>Blue text</t>
        </is>
      </c>
      <c r="B18" s="9" t="inlineStr">
        <is>
          <t>Hardcoded input — edit these freely.</t>
        </is>
      </c>
    </row>
    <row r="19" ht="14" customHeight="1">
      <c r="A19" s="11" t="inlineStr">
        <is>
          <t>Yellow fill</t>
        </is>
      </c>
      <c r="B19" s="9" t="inlineStr">
        <is>
          <t>Key assumption or a figure you supplied. Check before circulating.</t>
        </is>
      </c>
    </row>
    <row r="20" ht="14" customHeight="1">
      <c r="A20" s="8" t="inlineStr">
        <is>
          <t>Black text</t>
        </is>
      </c>
      <c r="B20" s="9" t="inlineStr">
        <is>
          <t>Formula. Do not overwrite.</t>
        </is>
      </c>
    </row>
    <row r="21" ht="14" customHeight="1">
      <c r="A21" s="12" t="inlineStr">
        <is>
          <t>Green text</t>
        </is>
      </c>
      <c r="B21" s="9" t="inlineStr">
        <is>
          <t>Link to another sheet in this workbook.</t>
        </is>
      </c>
    </row>
    <row r="23" ht="18" customHeight="1">
      <c r="A23" s="4" t="inlineStr">
        <is>
          <t>FIGURES SUPPLIED BY HJ (used as-is, not estimated)</t>
        </is>
      </c>
      <c r="B23" s="5" t="n"/>
      <c r="C23" s="5" t="n"/>
      <c r="D23" s="5" t="n"/>
      <c r="E23" s="5" t="n"/>
      <c r="F23" s="5" t="n"/>
    </row>
    <row r="24" ht="14" customHeight="1">
      <c r="A24" s="8" t="inlineStr">
        <is>
          <t>•</t>
        </is>
      </c>
      <c r="B24" s="9" t="inlineStr">
        <is>
          <t>Domain name, 3 years — AED 387</t>
        </is>
      </c>
    </row>
    <row r="25" ht="14" customHeight="1">
      <c r="A25" s="8" t="inlineStr">
        <is>
          <t>•</t>
        </is>
      </c>
      <c r="B25" s="9" t="inlineStr">
        <is>
          <t>Company stamp — AED 137</t>
        </is>
      </c>
    </row>
    <row r="27" ht="18" customHeight="1">
      <c r="A27" s="4" t="inlineStr">
        <is>
          <t>IMPORTANT NOTES</t>
        </is>
      </c>
      <c r="B27" s="5" t="n"/>
      <c r="C27" s="5" t="n"/>
      <c r="D27" s="5" t="n"/>
      <c r="E27" s="5" t="n"/>
      <c r="F27" s="5" t="n"/>
    </row>
    <row r="28" ht="26" customHeight="1">
      <c r="A28" s="8" t="inlineStr">
        <is>
          <t>•</t>
        </is>
      </c>
      <c r="B28" s="9" t="inlineStr">
        <is>
          <t>Bank minimum balance is shown as a MEMO item, not CAPEX. It is a blocked asset, not a cost — do not add it to the CAPEX total when presenting to the bank.</t>
        </is>
      </c>
    </row>
    <row r="29" ht="26" customHeight="1">
      <c r="A29" s="8" t="inlineStr">
        <is>
          <t>•</t>
        </is>
      </c>
      <c r="B29" s="9" t="inlineStr">
        <is>
          <t>Company formation costs dated on or before 03/07/2026 are likely already incurred. Mark them in the 'Status' column so the sheet distinguishes sunk cost from cash still to be spent.</t>
        </is>
      </c>
    </row>
    <row r="30" ht="39" customHeight="1">
      <c r="A30" s="8" t="inlineStr">
        <is>
          <t>•</t>
        </is>
      </c>
      <c r="B30" s="9" t="inlineStr">
        <is>
          <t>DET (formerly DTCM) holiday-home permit fees are charged per unit per year and are re-charged to the owner in most Dubai management contracts. First issue sits in CAPEX; renewals sit in OPEX.</t>
        </is>
      </c>
    </row>
    <row r="31" ht="26" customHeight="1">
      <c r="A31" s="8" t="inlineStr">
        <is>
          <t>•</t>
        </is>
      </c>
      <c r="B31" s="9" t="inlineStr">
        <is>
          <t>Contingency is set at 10% of subtotal. Standard for a first-year UAE service company where licensing and regulatory fees move.</t>
        </is>
      </c>
    </row>
  </sheetData>
  <mergeCells count="24">
    <mergeCell ref="B7:F7"/>
    <mergeCell ref="B25:F25"/>
    <mergeCell ref="A27:F27"/>
    <mergeCell ref="B31:F31"/>
    <mergeCell ref="B18:F18"/>
    <mergeCell ref="B21:F21"/>
    <mergeCell ref="A2:F2"/>
    <mergeCell ref="B12:F12"/>
    <mergeCell ref="A5:F5"/>
    <mergeCell ref="A23:F23"/>
    <mergeCell ref="A17:F17"/>
    <mergeCell ref="B14:F14"/>
    <mergeCell ref="B8:F8"/>
    <mergeCell ref="B13:F13"/>
    <mergeCell ref="B29:F29"/>
    <mergeCell ref="B28:F28"/>
    <mergeCell ref="B19:F19"/>
    <mergeCell ref="B9:F9"/>
    <mergeCell ref="B30:F30"/>
    <mergeCell ref="A11:F11"/>
    <mergeCell ref="B24:F24"/>
    <mergeCell ref="B20:F20"/>
    <mergeCell ref="B15:F15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15" customWidth="1" min="4" max="4"/>
    <col width="15" customWidth="1" min="5" max="5"/>
    <col width="68" customWidth="1" min="6" max="6"/>
  </cols>
  <sheetData>
    <row r="1" ht="26" customHeight="1">
      <c r="A1" s="1" t="inlineStr">
        <is>
          <t>CAPEX SUMMARY BY CATEGORY</t>
        </is>
      </c>
      <c r="B1" s="2" t="n"/>
      <c r="C1" s="2" t="n"/>
      <c r="D1" s="2" t="n"/>
      <c r="E1" s="2" t="n"/>
      <c r="F1" s="2" t="n"/>
    </row>
    <row r="2" ht="16" customHeight="1">
      <c r="A2" s="3" t="inlineStr">
        <is>
          <t>All figures AED. Base case is the presentation figure; Low / High frame the range.</t>
        </is>
      </c>
      <c r="B2" s="2" t="n"/>
      <c r="C2" s="2" t="n"/>
      <c r="D2" s="2" t="n"/>
      <c r="E2" s="2" t="n"/>
      <c r="F2" s="2" t="n"/>
    </row>
    <row r="4" ht="24" customHeight="1">
      <c r="A4" s="13" t="inlineStr">
        <is>
          <t>Category</t>
        </is>
      </c>
      <c r="B4" s="13" t="inlineStr">
        <is>
          <t>Low</t>
        </is>
      </c>
      <c r="C4" s="13" t="inlineStr">
        <is>
          <t>Base</t>
        </is>
      </c>
      <c r="D4" s="13" t="inlineStr">
        <is>
          <t>High</t>
        </is>
      </c>
      <c r="E4" s="13" t="inlineStr">
        <is>
          <t>% of Base total</t>
        </is>
      </c>
      <c r="F4" s="13" t="inlineStr">
        <is>
          <t>Comment</t>
        </is>
      </c>
    </row>
    <row r="5" ht="26" customHeight="1">
      <c r="A5" s="14" t="inlineStr">
        <is>
          <t>A. COMPANY FORMATION, LICENSING &amp; REGULATORY</t>
        </is>
      </c>
      <c r="B5" s="15">
        <f>'CAPEX Detail'!G45</f>
        <v/>
      </c>
      <c r="C5" s="15">
        <f>'CAPEX Detail'!H45</f>
        <v/>
      </c>
      <c r="D5" s="15">
        <f>'CAPEX Detail'!I45</f>
        <v/>
      </c>
      <c r="E5" s="16">
        <f>IF($C$12=0,0,C5/$C$12)</f>
        <v/>
      </c>
      <c r="F5" s="17" t="inlineStr">
        <is>
          <t>Largely fixed and largely unavoidable. Most of it is already incurred as at 03/07/2026.</t>
        </is>
      </c>
    </row>
    <row r="6" ht="26" customHeight="1">
      <c r="A6" s="14" t="inlineStr">
        <is>
          <t>B. TECHNOLOGY, PLATFORM &amp; DIGITAL SETUP</t>
        </is>
      </c>
      <c r="B6" s="15">
        <f>'CAPEX Detail'!G46</f>
        <v/>
      </c>
      <c r="C6" s="15">
        <f>'CAPEX Detail'!H46</f>
        <v/>
      </c>
      <c r="D6" s="15">
        <f>'CAPEX Detail'!I46</f>
        <v/>
      </c>
      <c r="E6" s="16">
        <f>IF($C$12=0,0,C6/$C$12)</f>
        <v/>
      </c>
      <c r="F6" s="17" t="inlineStr">
        <is>
          <t>The direct booking engine is the highest-return line in the whole CAPEX — it removes OTA commission on repeat guests.</t>
        </is>
      </c>
    </row>
    <row r="7" ht="26" customHeight="1">
      <c r="A7" s="14" t="inlineStr">
        <is>
          <t>C. BRAND &amp; MARKETING SETUP</t>
        </is>
      </c>
      <c r="B7" s="15">
        <f>'CAPEX Detail'!G47</f>
        <v/>
      </c>
      <c r="C7" s="15">
        <f>'CAPEX Detail'!H47</f>
        <v/>
      </c>
      <c r="D7" s="15">
        <f>'CAPEX Detail'!I47</f>
        <v/>
      </c>
      <c r="E7" s="16">
        <f>IF($C$12=0,0,C7/$C$12)</f>
        <v/>
      </c>
      <c r="F7" s="17" t="inlineStr">
        <is>
          <t>Directly enables both marketing options. The owner pitch deck is what the acquisition team actually sells with.</t>
        </is>
      </c>
    </row>
    <row r="8" ht="26" customHeight="1">
      <c r="A8" s="14" t="inlineStr">
        <is>
          <t>D. OFFICE EQUIPMENT &amp; FURNITURE (DUBAI)</t>
        </is>
      </c>
      <c r="B8" s="15">
        <f>'CAPEX Detail'!G48</f>
        <v/>
      </c>
      <c r="C8" s="15">
        <f>'CAPEX Detail'!H48</f>
        <v/>
      </c>
      <c r="D8" s="15">
        <f>'CAPEX Detail'!I48</f>
        <v/>
      </c>
      <c r="E8" s="16">
        <f>IF($C$12=0,0,C8/$C$12)</f>
        <v/>
      </c>
      <c r="F8" s="17" t="inlineStr">
        <is>
          <t>Scale-insensitive. Same cost at 1 unit or 80.</t>
        </is>
      </c>
    </row>
    <row r="9" ht="26" customHeight="1">
      <c r="A9" s="14" t="inlineStr">
        <is>
          <t>E. DEPOSITS &amp; PREPAYMENTS</t>
        </is>
      </c>
      <c r="B9" s="15">
        <f>'CAPEX Detail'!G49</f>
        <v/>
      </c>
      <c r="C9" s="15">
        <f>'CAPEX Detail'!H49</f>
        <v/>
      </c>
      <c r="D9" s="15">
        <f>'CAPEX Detail'!I49</f>
        <v/>
      </c>
      <c r="E9" s="16">
        <f>IF($C$12=0,0,C9/$C$12)</f>
        <v/>
      </c>
      <c r="F9" s="17" t="inlineStr">
        <is>
          <t>Mostly refundable. Cash timing rather than true cost.</t>
        </is>
      </c>
    </row>
    <row r="10">
      <c r="A10" s="14" t="inlineStr">
        <is>
          <t>Unit setup — 1 unit</t>
        </is>
      </c>
      <c r="B10" s="15">
        <f>'CAPEX Detail'!G51</f>
        <v/>
      </c>
      <c r="C10" s="15">
        <f>'CAPEX Detail'!H51</f>
        <v/>
      </c>
      <c r="D10" s="15">
        <f>'CAPEX Detail'!I51</f>
        <v/>
      </c>
      <c r="E10" s="16">
        <f>IF($C$12=0,0,C10/$C$12)</f>
        <v/>
      </c>
      <c r="F10" s="17" t="inlineStr">
        <is>
          <t>Per HJ: one unit only. Multiply on the 'Unit Setup' tab for portfolio scale.</t>
        </is>
      </c>
    </row>
    <row r="11">
      <c r="A11" s="14" t="inlineStr">
        <is>
          <t>Contingency</t>
        </is>
      </c>
      <c r="B11" s="15">
        <f>'CAPEX Detail'!G52</f>
        <v/>
      </c>
      <c r="C11" s="15">
        <f>'CAPEX Detail'!H52</f>
        <v/>
      </c>
      <c r="D11" s="15">
        <f>'CAPEX Detail'!I52</f>
        <v/>
      </c>
      <c r="E11" s="16">
        <f>IF($C$12=0,0,C11/$C$12)</f>
        <v/>
      </c>
      <c r="F11" s="18" t="inlineStr">
        <is>
          <t>10% of company-setup subtotal.</t>
        </is>
      </c>
    </row>
    <row r="12" ht="20" customHeight="1">
      <c r="A12" s="19" t="inlineStr">
        <is>
          <t>TOTAL CAPEX</t>
        </is>
      </c>
      <c r="B12" s="20">
        <f>SUM(B5:B11)</f>
        <v/>
      </c>
      <c r="C12" s="20">
        <f>SUM(C5:C11)</f>
        <v/>
      </c>
      <c r="D12" s="20">
        <f>SUM(D5:D11)</f>
        <v/>
      </c>
      <c r="E12" s="21">
        <f>IF($C$12=0,0,SUM(E5:E11))</f>
        <v/>
      </c>
      <c r="F12" s="5" t="n"/>
    </row>
    <row r="15">
      <c r="A15" s="4" t="inlineStr">
        <is>
          <t>READ-ACROSS</t>
        </is>
      </c>
      <c r="B15" s="5" t="n"/>
      <c r="C15" s="5" t="n"/>
      <c r="D15" s="5" t="n"/>
      <c r="E15" s="5" t="n"/>
      <c r="F15" s="5" t="n"/>
    </row>
    <row r="16" ht="34" customHeight="1">
      <c r="A16" s="22" t="inlineStr">
        <is>
          <t>•  The Business Profile states AED 2,000,000 of shareholder capital. Per HJ this CAPEX is NOT sized to that number — it is built bottom-up from what the business needs, and the balance is available as working capital and runway.</t>
        </is>
      </c>
    </row>
    <row r="17" ht="34" customHeight="1">
      <c r="A17" s="22" t="inlineStr">
        <is>
          <t>•  Because Orizuru operates commission-only, CAPEX is genuinely light: there is no furniture, no unit deposits and no master-lease prepayment. The heavy spend in this business is OPEX, not CAPEX.</t>
        </is>
      </c>
    </row>
    <row r="18" ht="34" customHeight="1">
      <c r="A18" s="22" t="inlineStr">
        <is>
          <t>•  The single largest scaling risk is NOT in this workbook: it is the per-unit setup cost multiplied out. At the Business Profile's 70–80 unit target the unit-setup line alone becomes material — see the scaling table on the 'Unit Setup' tab.</t>
        </is>
      </c>
    </row>
    <row r="19" ht="34" customHeight="1">
      <c r="A19" s="22" t="inlineStr">
        <is>
          <t>•  Refundable items (office deposit, DEWA deposit, labour guarantee) are inside the total. Strip them out if presenting a 'true sunk cost' figure.</t>
        </is>
      </c>
    </row>
  </sheetData>
  <mergeCells count="7">
    <mergeCell ref="A2:F2"/>
    <mergeCell ref="A16:F16"/>
    <mergeCell ref="A19:F19"/>
    <mergeCell ref="A1:F1"/>
    <mergeCell ref="A17:F17"/>
    <mergeCell ref="A18:F18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8" customWidth="1" min="2" max="2"/>
    <col width="7" customWidth="1" min="3" max="3"/>
    <col width="13" customWidth="1" min="4" max="4"/>
    <col width="13" customWidth="1" min="5" max="5"/>
    <col width="13" customWidth="1" min="6" max="6"/>
    <col width="14" customWidth="1" min="7" max="7"/>
    <col width="14" customWidth="1" min="8" max="8"/>
    <col width="14" customWidth="1" min="9" max="9"/>
    <col width="17" customWidth="1" min="10" max="10"/>
    <col width="66" customWidth="1" min="11" max="11"/>
  </cols>
  <sheetData>
    <row r="1" ht="26" customHeight="1">
      <c r="A1" s="1" t="inlineStr">
        <is>
          <t>CAPEX DETAIL — ONE-OFF SETUP EXPENDITURE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6" customHeight="1">
      <c r="A2" s="3" t="inlineStr">
        <is>
          <t>Company formation, licensing, technology, brand and equipment. Unit setup is on the 'Unit Setup (1 Unit)' tab.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4" ht="30" customHeight="1">
      <c r="A4" s="13" t="inlineStr">
        <is>
          <t>Ref</t>
        </is>
      </c>
      <c r="B4" s="13" t="inlineStr">
        <is>
          <t>Line item</t>
        </is>
      </c>
      <c r="C4" s="13" t="inlineStr">
        <is>
          <t>Qty</t>
        </is>
      </c>
      <c r="D4" s="13" t="inlineStr">
        <is>
          <t>Unit cost — Low</t>
        </is>
      </c>
      <c r="E4" s="13" t="inlineStr">
        <is>
          <t>Unit cost — Base</t>
        </is>
      </c>
      <c r="F4" s="13" t="inlineStr">
        <is>
          <t>Unit cost — High</t>
        </is>
      </c>
      <c r="G4" s="13" t="inlineStr">
        <is>
          <t>Total — Low</t>
        </is>
      </c>
      <c r="H4" s="13" t="inlineStr">
        <is>
          <t>Total — Base</t>
        </is>
      </c>
      <c r="I4" s="13" t="inlineStr">
        <is>
          <t>Total — High</t>
        </is>
      </c>
      <c r="J4" s="13" t="inlineStr">
        <is>
          <t>Timing / status</t>
        </is>
      </c>
      <c r="K4" s="13" t="inlineStr">
        <is>
          <t>Basis / note</t>
        </is>
      </c>
    </row>
    <row r="5" ht="18" customHeight="1">
      <c r="A5" s="4" t="inlineStr">
        <is>
          <t>A. COMPANY FORMATION, LICENSING &amp; REGULATORY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4" customHeight="1">
      <c r="A6" s="14" t="inlineStr">
        <is>
          <t>A1</t>
        </is>
      </c>
      <c r="B6" s="23" t="inlineStr">
        <is>
          <t>DED trade licence — initial issue (Vacation Homes Rental)</t>
        </is>
      </c>
      <c r="C6" s="24" t="n">
        <v>1</v>
      </c>
      <c r="D6" s="25" t="n">
        <v>13500</v>
      </c>
      <c r="E6" s="25" t="n">
        <v>17500</v>
      </c>
      <c r="F6" s="25" t="n">
        <v>22000</v>
      </c>
      <c r="G6" s="26">
        <f>$C6*D6</f>
        <v/>
      </c>
      <c r="H6" s="26">
        <f>$C6*E6</f>
        <v/>
      </c>
      <c r="I6" s="26">
        <f>$C6*F6</f>
        <v/>
      </c>
      <c r="J6" s="27" t="inlineStr">
        <is>
          <t>Incurred — 03/07/2026</t>
        </is>
      </c>
      <c r="K6" s="17" t="inlineStr">
        <is>
          <t>Mainland LLC commercial licence. Licence No. 1634278 per the Business Profile.</t>
        </is>
      </c>
    </row>
    <row r="7" ht="24" customHeight="1">
      <c r="A7" s="14" t="inlineStr">
        <is>
          <t>A2</t>
        </is>
      </c>
      <c r="B7" s="23" t="inlineStr">
        <is>
          <t>Trade name reservation &amp; initial approval</t>
        </is>
      </c>
      <c r="C7" s="24" t="n">
        <v>1</v>
      </c>
      <c r="D7" s="25" t="n">
        <v>900</v>
      </c>
      <c r="E7" s="25" t="n">
        <v>1200</v>
      </c>
      <c r="F7" s="25" t="n">
        <v>1600</v>
      </c>
      <c r="G7" s="26">
        <f>$C7*D7</f>
        <v/>
      </c>
      <c r="H7" s="26">
        <f>$C7*E7</f>
        <v/>
      </c>
      <c r="I7" s="26">
        <f>$C7*F7</f>
        <v/>
      </c>
      <c r="J7" s="27" t="inlineStr">
        <is>
          <t>Incurred — 03/07/2026</t>
        </is>
      </c>
      <c r="K7" s="17" t="inlineStr">
        <is>
          <t>DED fixed fees.</t>
        </is>
      </c>
    </row>
    <row r="8" ht="24" customHeight="1">
      <c r="A8" s="14" t="inlineStr">
        <is>
          <t>A3</t>
        </is>
      </c>
      <c r="B8" s="23" t="inlineStr">
        <is>
          <t>MOA drafting &amp; notarisation</t>
        </is>
      </c>
      <c r="C8" s="24" t="n">
        <v>1</v>
      </c>
      <c r="D8" s="25" t="n">
        <v>1800</v>
      </c>
      <c r="E8" s="25" t="n">
        <v>2500</v>
      </c>
      <c r="F8" s="25" t="n">
        <v>3500</v>
      </c>
      <c r="G8" s="26">
        <f>$C8*D8</f>
        <v/>
      </c>
      <c r="H8" s="26">
        <f>$C8*E8</f>
        <v/>
      </c>
      <c r="I8" s="26">
        <f>$C8*F8</f>
        <v/>
      </c>
      <c r="J8" s="27" t="inlineStr">
        <is>
          <t>Incurred — 03/07/2026</t>
        </is>
      </c>
      <c r="K8" s="17" t="inlineStr">
        <is>
          <t>Three-shareholder structure per the Business Profile (Podocarpus 70% / Atayev 16% / Mamiyev 14%).</t>
        </is>
      </c>
    </row>
    <row r="9" ht="24" customHeight="1">
      <c r="A9" s="14" t="inlineStr">
        <is>
          <t>A4</t>
        </is>
      </c>
      <c r="B9" s="23" t="inlineStr">
        <is>
          <t>Ejari / tenancy registration for the licensed address</t>
        </is>
      </c>
      <c r="C9" s="24" t="n">
        <v>1</v>
      </c>
      <c r="D9" s="25" t="n">
        <v>1500</v>
      </c>
      <c r="E9" s="25" t="n">
        <v>2200</v>
      </c>
      <c r="F9" s="25" t="n">
        <v>3200</v>
      </c>
      <c r="G9" s="26">
        <f>$C9*D9</f>
        <v/>
      </c>
      <c r="H9" s="26">
        <f>$C9*E9</f>
        <v/>
      </c>
      <c r="I9" s="26">
        <f>$C9*F9</f>
        <v/>
      </c>
      <c r="J9" s="27" t="inlineStr">
        <is>
          <t>Incurred — 03/07/2026</t>
        </is>
      </c>
      <c r="K9" s="17" t="inlineStr">
        <is>
          <t>Fronds Building – Office 02, Goze Industrial Third. Required to hold the licence.</t>
        </is>
      </c>
    </row>
    <row r="10" ht="24" customHeight="1">
      <c r="A10" s="14" t="inlineStr">
        <is>
          <t>A5</t>
        </is>
      </c>
      <c r="B10" s="23" t="inlineStr">
        <is>
          <t>Immigration establishment card</t>
        </is>
      </c>
      <c r="C10" s="24" t="n">
        <v>1</v>
      </c>
      <c r="D10" s="25" t="n">
        <v>1000</v>
      </c>
      <c r="E10" s="25" t="n">
        <v>1500</v>
      </c>
      <c r="F10" s="25" t="n">
        <v>2200</v>
      </c>
      <c r="G10" s="26">
        <f>$C10*D10</f>
        <v/>
      </c>
      <c r="H10" s="26">
        <f>$C10*E10</f>
        <v/>
      </c>
      <c r="I10" s="26">
        <f>$C10*F10</f>
        <v/>
      </c>
      <c r="J10" s="27" t="inlineStr">
        <is>
          <t>Month 1</t>
        </is>
      </c>
      <c r="K10" s="17" t="inlineStr">
        <is>
          <t>Required before any employment visa can be issued.</t>
        </is>
      </c>
    </row>
    <row r="11" ht="24" customHeight="1">
      <c r="A11" s="14" t="inlineStr">
        <is>
          <t>A6</t>
        </is>
      </c>
      <c r="B11" s="23" t="inlineStr">
        <is>
          <t>MOHRE labour file / e-Channel registration</t>
        </is>
      </c>
      <c r="C11" s="24" t="n">
        <v>1</v>
      </c>
      <c r="D11" s="25" t="n">
        <v>1600</v>
      </c>
      <c r="E11" s="25" t="n">
        <v>2300</v>
      </c>
      <c r="F11" s="25" t="n">
        <v>3200</v>
      </c>
      <c r="G11" s="26">
        <f>$C11*D11</f>
        <v/>
      </c>
      <c r="H11" s="26">
        <f>$C11*E11</f>
        <v/>
      </c>
      <c r="I11" s="26">
        <f>$C11*F11</f>
        <v/>
      </c>
      <c r="J11" s="27" t="inlineStr">
        <is>
          <t>Month 1</t>
        </is>
      </c>
      <c r="K11" s="17" t="inlineStr">
        <is>
          <t>Needed to sponsor the operations &amp; service staff member.</t>
        </is>
      </c>
    </row>
    <row r="12" ht="24" customHeight="1">
      <c r="A12" s="14" t="inlineStr">
        <is>
          <t>A7</t>
        </is>
      </c>
      <c r="B12" s="23" t="inlineStr">
        <is>
          <t>DET (ex-DTCM) holiday-home OPERATOR permit — company level</t>
        </is>
      </c>
      <c r="C12" s="24" t="n">
        <v>1</v>
      </c>
      <c r="D12" s="25" t="n">
        <v>4500</v>
      </c>
      <c r="E12" s="25" t="n">
        <v>7500</v>
      </c>
      <c r="F12" s="25" t="n">
        <v>12000</v>
      </c>
      <c r="G12" s="26">
        <f>$C12*D12</f>
        <v/>
      </c>
      <c r="H12" s="26">
        <f>$C12*E12</f>
        <v/>
      </c>
      <c r="I12" s="26">
        <f>$C12*F12</f>
        <v/>
      </c>
      <c r="J12" s="27" t="inlineStr">
        <is>
          <t>Month 1</t>
        </is>
      </c>
      <c r="K12" s="17" t="inlineStr">
        <is>
          <t>Distinct from the per-unit permit. Without it the company cannot legally list short-term rentals.</t>
        </is>
      </c>
    </row>
    <row r="13" ht="24" customHeight="1">
      <c r="A13" s="14" t="inlineStr">
        <is>
          <t>A8</t>
        </is>
      </c>
      <c r="B13" s="23" t="inlineStr">
        <is>
          <t>Corporate bank account opening &amp; KYC pack</t>
        </is>
      </c>
      <c r="C13" s="24" t="n">
        <v>1</v>
      </c>
      <c r="D13" s="25" t="n">
        <v>0</v>
      </c>
      <c r="E13" s="25" t="n">
        <v>500</v>
      </c>
      <c r="F13" s="25" t="n">
        <v>1500</v>
      </c>
      <c r="G13" s="26">
        <f>$C13*D13</f>
        <v/>
      </c>
      <c r="H13" s="26">
        <f>$C13*E13</f>
        <v/>
      </c>
      <c r="I13" s="26">
        <f>$C13*F13</f>
        <v/>
      </c>
      <c r="J13" s="27" t="inlineStr">
        <is>
          <t>Month 1</t>
        </is>
      </c>
      <c r="K13" s="17" t="inlineStr">
        <is>
          <t>Corporate current account, multi-currency AED/USD/EUR per the Business Profile.</t>
        </is>
      </c>
    </row>
    <row r="14" ht="24" customHeight="1">
      <c r="A14" s="14" t="inlineStr">
        <is>
          <t>A9</t>
        </is>
      </c>
      <c r="B14" s="23" t="inlineStr">
        <is>
          <t>VAT registration &amp; Corporate Tax registration</t>
        </is>
      </c>
      <c r="C14" s="24" t="n">
        <v>1</v>
      </c>
      <c r="D14" s="25" t="n">
        <v>0</v>
      </c>
      <c r="E14" s="25" t="n">
        <v>1000</v>
      </c>
      <c r="F14" s="25" t="n">
        <v>2500</v>
      </c>
      <c r="G14" s="26">
        <f>$C14*D14</f>
        <v/>
      </c>
      <c r="H14" s="26">
        <f>$C14*E14</f>
        <v/>
      </c>
      <c r="I14" s="26">
        <f>$C14*F14</f>
        <v/>
      </c>
      <c r="J14" s="27" t="inlineStr">
        <is>
          <t>Incurred</t>
        </is>
      </c>
      <c r="K14" s="17" t="inlineStr">
        <is>
          <t>TRN 105507385000001 already issued per the Business Profile. Cost shown for completeness.</t>
        </is>
      </c>
    </row>
    <row r="15" ht="24" customHeight="1">
      <c r="A15" s="14" t="inlineStr">
        <is>
          <t>A10</t>
        </is>
      </c>
      <c r="B15" s="23" t="inlineStr">
        <is>
          <t>Company stamp</t>
        </is>
      </c>
      <c r="C15" s="24" t="n">
        <v>1</v>
      </c>
      <c r="D15" s="28" t="n">
        <v>137</v>
      </c>
      <c r="E15" s="28" t="n">
        <v>137</v>
      </c>
      <c r="F15" s="28" t="n">
        <v>137</v>
      </c>
      <c r="G15" s="26">
        <f>$C15*D15</f>
        <v/>
      </c>
      <c r="H15" s="26">
        <f>$C15*E15</f>
        <v/>
      </c>
      <c r="I15" s="26">
        <f>$C15*F15</f>
        <v/>
      </c>
      <c r="J15" s="27" t="inlineStr">
        <is>
          <t>Incurred</t>
        </is>
      </c>
      <c r="K15" s="17" t="inlineStr">
        <is>
          <t>Actual figure supplied by HJ — AED 137.</t>
        </is>
      </c>
    </row>
    <row r="16" ht="24" customHeight="1">
      <c r="A16" s="14" t="inlineStr">
        <is>
          <t>A11</t>
        </is>
      </c>
      <c r="B16" s="23" t="inlineStr">
        <is>
          <t>Employment visa — operations &amp; service staff (1 person)</t>
        </is>
      </c>
      <c r="C16" s="24" t="n">
        <v>1</v>
      </c>
      <c r="D16" s="25" t="n">
        <v>4500</v>
      </c>
      <c r="E16" s="25" t="n">
        <v>6000</v>
      </c>
      <c r="F16" s="25" t="n">
        <v>8000</v>
      </c>
      <c r="G16" s="26">
        <f>$C16*D16</f>
        <v/>
      </c>
      <c r="H16" s="26">
        <f>$C16*E16</f>
        <v/>
      </c>
      <c r="I16" s="26">
        <f>$C16*F16</f>
        <v/>
      </c>
      <c r="J16" s="27" t="inlineStr">
        <is>
          <t>Month 1</t>
        </is>
      </c>
      <c r="K16" s="17" t="inlineStr">
        <is>
          <t>Entry permit, status change, medical, Emirates ID, 2-year residence visa.</t>
        </is>
      </c>
    </row>
    <row r="17" ht="24" customHeight="1">
      <c r="A17" s="14" t="inlineStr">
        <is>
          <t>A12</t>
        </is>
      </c>
      <c r="B17" s="23" t="inlineStr">
        <is>
          <t>Refundable labour guarantee / bank guarantee (1 employee)</t>
        </is>
      </c>
      <c r="C17" s="24" t="n">
        <v>1</v>
      </c>
      <c r="D17" s="25" t="n">
        <v>0</v>
      </c>
      <c r="E17" s="25" t="n">
        <v>3000</v>
      </c>
      <c r="F17" s="25" t="n">
        <v>3000</v>
      </c>
      <c r="G17" s="26">
        <f>$C17*D17</f>
        <v/>
      </c>
      <c r="H17" s="26">
        <f>$C17*E17</f>
        <v/>
      </c>
      <c r="I17" s="26">
        <f>$C17*F17</f>
        <v/>
      </c>
      <c r="J17" s="27" t="inlineStr">
        <is>
          <t>Month 1</t>
        </is>
      </c>
      <c r="K17" s="17" t="inlineStr">
        <is>
          <t>MOHRE requirement. Refundable, but cash out on day one.</t>
        </is>
      </c>
    </row>
    <row r="18" ht="18" customHeight="1">
      <c r="A18" s="4" t="inlineStr">
        <is>
          <t>B. TECHNOLOGY, PLATFORM &amp; DIGITAL SETUP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 ht="24" customHeight="1">
      <c r="A19" s="14" t="inlineStr">
        <is>
          <t>B1</t>
        </is>
      </c>
      <c r="B19" s="23" t="inlineStr">
        <is>
          <t>Domain name registration — 3 years</t>
        </is>
      </c>
      <c r="C19" s="24" t="n">
        <v>1</v>
      </c>
      <c r="D19" s="28" t="n">
        <v>387</v>
      </c>
      <c r="E19" s="28" t="n">
        <v>387</v>
      </c>
      <c r="F19" s="28" t="n">
        <v>387</v>
      </c>
      <c r="G19" s="26">
        <f>$C19*D19</f>
        <v/>
      </c>
      <c r="H19" s="26">
        <f>$C19*E19</f>
        <v/>
      </c>
      <c r="I19" s="26">
        <f>$C19*F19</f>
        <v/>
      </c>
      <c r="J19" s="27" t="inlineStr">
        <is>
          <t>Incurred</t>
        </is>
      </c>
      <c r="K19" s="17" t="inlineStr">
        <is>
          <t>Actual figure supplied by HJ — AED 387 for 3 years.</t>
        </is>
      </c>
    </row>
    <row r="20" ht="24" customHeight="1">
      <c r="A20" s="14" t="inlineStr">
        <is>
          <t>B2</t>
        </is>
      </c>
      <c r="B20" s="23" t="inlineStr">
        <is>
          <t>Website build + direct booking engine</t>
        </is>
      </c>
      <c r="C20" s="24" t="n">
        <v>1</v>
      </c>
      <c r="D20" s="25" t="n">
        <v>7000</v>
      </c>
      <c r="E20" s="25" t="n">
        <v>12000</v>
      </c>
      <c r="F20" s="25" t="n">
        <v>22000</v>
      </c>
      <c r="G20" s="26">
        <f>$C20*D20</f>
        <v/>
      </c>
      <c r="H20" s="26">
        <f>$C20*E20</f>
        <v/>
      </c>
      <c r="I20" s="26">
        <f>$C20*F20</f>
        <v/>
      </c>
      <c r="J20" s="27" t="inlineStr">
        <is>
          <t>Month 1–2</t>
        </is>
      </c>
      <c r="K20" s="17" t="inlineStr">
        <is>
          <t>The Business Profile commits to a direct booking portal. Direct bookings avoid the 15–18% OTA commission, so this pays back fastest of any line here.</t>
        </is>
      </c>
    </row>
    <row r="21" ht="24" customHeight="1">
      <c r="A21" s="14" t="inlineStr">
        <is>
          <t>B3</t>
        </is>
      </c>
      <c r="B21" s="23" t="inlineStr">
        <is>
          <t>PMS / channel manager onboarding &amp; setup fee (Hostaway, Guesty or equivalent)</t>
        </is>
      </c>
      <c r="C21" s="24" t="n">
        <v>1</v>
      </c>
      <c r="D21" s="25" t="n">
        <v>1800</v>
      </c>
      <c r="E21" s="25" t="n">
        <v>3000</v>
      </c>
      <c r="F21" s="25" t="n">
        <v>5500</v>
      </c>
      <c r="G21" s="26">
        <f>$C21*D21</f>
        <v/>
      </c>
      <c r="H21" s="26">
        <f>$C21*E21</f>
        <v/>
      </c>
      <c r="I21" s="26">
        <f>$C21*F21</f>
        <v/>
      </c>
      <c r="J21" s="27" t="inlineStr">
        <is>
          <t>Month 1</t>
        </is>
      </c>
      <c r="K21" s="17" t="inlineStr">
        <is>
          <t>One-off implementation. The recurring per-unit licence sits in OPEX.</t>
        </is>
      </c>
    </row>
    <row r="22" ht="24" customHeight="1">
      <c r="A22" s="14" t="inlineStr">
        <is>
          <t>B4</t>
        </is>
      </c>
      <c r="B22" s="23" t="inlineStr">
        <is>
          <t>Channel account setup &amp; verification (Airbnb, Booking.com, direct)</t>
        </is>
      </c>
      <c r="C22" s="24" t="n">
        <v>1</v>
      </c>
      <c r="D22" s="25" t="n">
        <v>0</v>
      </c>
      <c r="E22" s="25" t="n">
        <v>800</v>
      </c>
      <c r="F22" s="25" t="n">
        <v>1800</v>
      </c>
      <c r="G22" s="26">
        <f>$C22*D22</f>
        <v/>
      </c>
      <c r="H22" s="26">
        <f>$C22*E22</f>
        <v/>
      </c>
      <c r="I22" s="26">
        <f>$C22*F22</f>
        <v/>
      </c>
      <c r="J22" s="27" t="inlineStr">
        <is>
          <t>Month 1</t>
        </is>
      </c>
      <c r="K22" s="17" t="inlineStr">
        <is>
          <t>Account verification, payout setup, listing template build.</t>
        </is>
      </c>
    </row>
    <row r="23" ht="24" customHeight="1">
      <c r="A23" s="14" t="inlineStr">
        <is>
          <t>B5</t>
        </is>
      </c>
      <c r="B23" s="23" t="inlineStr">
        <is>
          <t>Business email, Google Workspace &amp; cloud drive setup</t>
        </is>
      </c>
      <c r="C23" s="24" t="n">
        <v>1</v>
      </c>
      <c r="D23" s="25" t="n">
        <v>300</v>
      </c>
      <c r="E23" s="25" t="n">
        <v>600</v>
      </c>
      <c r="F23" s="25" t="n">
        <v>1200</v>
      </c>
      <c r="G23" s="26">
        <f>$C23*D23</f>
        <v/>
      </c>
      <c r="H23" s="26">
        <f>$C23*E23</f>
        <v/>
      </c>
      <c r="I23" s="26">
        <f>$C23*F23</f>
        <v/>
      </c>
      <c r="J23" s="27" t="inlineStr">
        <is>
          <t>Month 1</t>
        </is>
      </c>
      <c r="K23" s="17" t="inlineStr">
        <is>
          <t>One-off configuration. Seat licences are OPEX.</t>
        </is>
      </c>
    </row>
    <row r="24" ht="24" customHeight="1">
      <c r="A24" s="14" t="inlineStr">
        <is>
          <t>B6</t>
        </is>
      </c>
      <c r="B24" s="23" t="inlineStr">
        <is>
          <t>Accounting system setup &amp; chart of accounts (Zoho Books / Xero)</t>
        </is>
      </c>
      <c r="C24" s="24" t="n">
        <v>1</v>
      </c>
      <c r="D24" s="25" t="n">
        <v>800</v>
      </c>
      <c r="E24" s="25" t="n">
        <v>1500</v>
      </c>
      <c r="F24" s="25" t="n">
        <v>3000</v>
      </c>
      <c r="G24" s="26">
        <f>$C24*D24</f>
        <v/>
      </c>
      <c r="H24" s="26">
        <f>$C24*E24</f>
        <v/>
      </c>
      <c r="I24" s="26">
        <f>$C24*F24</f>
        <v/>
      </c>
      <c r="J24" s="27" t="inlineStr">
        <is>
          <t>Month 1</t>
        </is>
      </c>
      <c r="K24" s="17" t="inlineStr">
        <is>
          <t>VAT-compliant chart of accounts. Doing this properly now avoids a costly first-audit clean-up.</t>
        </is>
      </c>
    </row>
    <row r="25" ht="24" customHeight="1">
      <c r="A25" s="14" t="inlineStr">
        <is>
          <t>B7</t>
        </is>
      </c>
      <c r="B25" s="23" t="inlineStr">
        <is>
          <t>AI workspace setup — prompt library, SOP automation, guest-messaging templates</t>
        </is>
      </c>
      <c r="C25" s="24" t="n">
        <v>1</v>
      </c>
      <c r="D25" s="25" t="n">
        <v>0</v>
      </c>
      <c r="E25" s="25" t="n">
        <v>1500</v>
      </c>
      <c r="F25" s="25" t="n">
        <v>4000</v>
      </c>
      <c r="G25" s="26">
        <f>$C25*D25</f>
        <v/>
      </c>
      <c r="H25" s="26">
        <f>$C25*E25</f>
        <v/>
      </c>
      <c r="I25" s="26">
        <f>$C25*F25</f>
        <v/>
      </c>
      <c r="J25" s="27" t="inlineStr">
        <is>
          <t>Month 1–2</t>
        </is>
      </c>
      <c r="K25" s="17" t="inlineStr">
        <is>
          <t>One-off build of the AI operating layer. The recurring subscription cost sits in OPEX per HJ item 5.</t>
        </is>
      </c>
    </row>
    <row r="26" ht="18" customHeight="1">
      <c r="A26" s="4" t="inlineStr">
        <is>
          <t>C. BRAND &amp; MARKETING SETUP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 ht="24" customHeight="1">
      <c r="A27" s="14" t="inlineStr">
        <is>
          <t>C1</t>
        </is>
      </c>
      <c r="B27" s="23" t="inlineStr">
        <is>
          <t>Brand identity — logo, typography, Japanese-inspired visual system</t>
        </is>
      </c>
      <c r="C27" s="24" t="n">
        <v>1</v>
      </c>
      <c r="D27" s="25" t="n">
        <v>2500</v>
      </c>
      <c r="E27" s="25" t="n">
        <v>4500</v>
      </c>
      <c r="F27" s="25" t="n">
        <v>9000</v>
      </c>
      <c r="G27" s="26">
        <f>$C27*D27</f>
        <v/>
      </c>
      <c r="H27" s="26">
        <f>$C27*E27</f>
        <v/>
      </c>
      <c r="I27" s="26">
        <f>$C27*F27</f>
        <v/>
      </c>
      <c r="J27" s="27" t="inlineStr">
        <is>
          <t>Month 1</t>
        </is>
      </c>
      <c r="K27" s="17" t="inlineStr">
        <is>
          <t>Supports the Ma / Shibui / Bushido / Wabi-Sabi brand philosophy in the Business Profile.</t>
        </is>
      </c>
    </row>
    <row r="28" ht="24" customHeight="1">
      <c r="A28" s="14" t="inlineStr">
        <is>
          <t>C2</t>
        </is>
      </c>
      <c r="B28" s="23" t="inlineStr">
        <is>
          <t>Brand photography &amp; short-form video (company level, not per unit)</t>
        </is>
      </c>
      <c r="C28" s="24" t="n">
        <v>1</v>
      </c>
      <c r="D28" s="25" t="n">
        <v>2000</v>
      </c>
      <c r="E28" s="25" t="n">
        <v>3500</v>
      </c>
      <c r="F28" s="25" t="n">
        <v>7000</v>
      </c>
      <c r="G28" s="26">
        <f>$C28*D28</f>
        <v/>
      </c>
      <c r="H28" s="26">
        <f>$C28*E28</f>
        <v/>
      </c>
      <c r="I28" s="26">
        <f>$C28*F28</f>
        <v/>
      </c>
      <c r="J28" s="27" t="inlineStr">
        <is>
          <t>Month 1–2</t>
        </is>
      </c>
      <c r="K28" s="17" t="inlineStr">
        <is>
          <t>Used across the website, OTA profile and owner pitch deck.</t>
        </is>
      </c>
    </row>
    <row r="29" ht="24" customHeight="1">
      <c r="A29" s="14" t="inlineStr">
        <is>
          <t>C3</t>
        </is>
      </c>
      <c r="B29" s="23" t="inlineStr">
        <is>
          <t>Owner acquisition pitch deck &amp; management-contract pack</t>
        </is>
      </c>
      <c r="C29" s="24" t="n">
        <v>1</v>
      </c>
      <c r="D29" s="25" t="n">
        <v>800</v>
      </c>
      <c r="E29" s="25" t="n">
        <v>1800</v>
      </c>
      <c r="F29" s="25" t="n">
        <v>3500</v>
      </c>
      <c r="G29" s="26">
        <f>$C29*D29</f>
        <v/>
      </c>
      <c r="H29" s="26">
        <f>$C29*E29</f>
        <v/>
      </c>
      <c r="I29" s="26">
        <f>$C29*F29</f>
        <v/>
      </c>
      <c r="J29" s="27" t="inlineStr">
        <is>
          <t>Month 1</t>
        </is>
      </c>
      <c r="K29" s="17" t="inlineStr">
        <is>
          <t>The core sales asset for the marketing team in both Option 1 and Option 2.</t>
        </is>
      </c>
    </row>
    <row r="30" ht="24" customHeight="1">
      <c r="A30" s="14" t="inlineStr">
        <is>
          <t>C4</t>
        </is>
      </c>
      <c r="B30" s="23" t="inlineStr">
        <is>
          <t>Printed collateral, business cards, owner welcome pack</t>
        </is>
      </c>
      <c r="C30" s="24" t="n">
        <v>1</v>
      </c>
      <c r="D30" s="25" t="n">
        <v>400</v>
      </c>
      <c r="E30" s="25" t="n">
        <v>900</v>
      </c>
      <c r="F30" s="25" t="n">
        <v>1800</v>
      </c>
      <c r="G30" s="26">
        <f>$C30*D30</f>
        <v/>
      </c>
      <c r="H30" s="26">
        <f>$C30*E30</f>
        <v/>
      </c>
      <c r="I30" s="26">
        <f>$C30*F30</f>
        <v/>
      </c>
      <c r="J30" s="27" t="inlineStr">
        <is>
          <t>Month 1</t>
        </is>
      </c>
      <c r="K30" s="17" t="inlineStr"/>
    </row>
    <row r="31" ht="24" customHeight="1">
      <c r="A31" s="14" t="inlineStr">
        <is>
          <t>C5</t>
        </is>
      </c>
      <c r="B31" s="23" t="inlineStr">
        <is>
          <t>Social media profile setup &amp; launch content batch</t>
        </is>
      </c>
      <c r="C31" s="24" t="n">
        <v>1</v>
      </c>
      <c r="D31" s="25" t="n">
        <v>500</v>
      </c>
      <c r="E31" s="25" t="n">
        <v>1200</v>
      </c>
      <c r="F31" s="25" t="n">
        <v>2500</v>
      </c>
      <c r="G31" s="26">
        <f>$C31*D31</f>
        <v/>
      </c>
      <c r="H31" s="26">
        <f>$C31*E31</f>
        <v/>
      </c>
      <c r="I31" s="26">
        <f>$C31*F31</f>
        <v/>
      </c>
      <c r="J31" s="27" t="inlineStr">
        <is>
          <t>Month 1</t>
        </is>
      </c>
      <c r="K31" s="17" t="inlineStr"/>
    </row>
    <row r="32" ht="18" customHeight="1">
      <c r="A32" s="4" t="inlineStr">
        <is>
          <t>D. OFFICE EQUIPMENT &amp; FURNITURE (DUBAI)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</row>
    <row r="33" ht="24" customHeight="1">
      <c r="A33" s="14" t="inlineStr">
        <is>
          <t>D1</t>
        </is>
      </c>
      <c r="B33" s="23" t="inlineStr">
        <is>
          <t>Laptop — operations</t>
        </is>
      </c>
      <c r="C33" s="24" t="n">
        <v>2</v>
      </c>
      <c r="D33" s="25" t="n">
        <v>2800</v>
      </c>
      <c r="E33" s="25" t="n">
        <v>3800</v>
      </c>
      <c r="F33" s="25" t="n">
        <v>5500</v>
      </c>
      <c r="G33" s="26">
        <f>$C33*D33</f>
        <v/>
      </c>
      <c r="H33" s="26">
        <f>$C33*E33</f>
        <v/>
      </c>
      <c r="I33" s="26">
        <f>$C33*F33</f>
        <v/>
      </c>
      <c r="J33" s="27" t="inlineStr">
        <is>
          <t>Month 1</t>
        </is>
      </c>
      <c r="K33" s="17" t="inlineStr">
        <is>
          <t>One for the operations &amp; service staff member, one for management.</t>
        </is>
      </c>
    </row>
    <row r="34" ht="24" customHeight="1">
      <c r="A34" s="14" t="inlineStr">
        <is>
          <t>D2</t>
        </is>
      </c>
      <c r="B34" s="23" t="inlineStr">
        <is>
          <t>Mobile handset — dedicated 24/7 guest support line</t>
        </is>
      </c>
      <c r="C34" s="24" t="n">
        <v>1</v>
      </c>
      <c r="D34" s="25" t="n">
        <v>1200</v>
      </c>
      <c r="E34" s="25" t="n">
        <v>1900</v>
      </c>
      <c r="F34" s="25" t="n">
        <v>3200</v>
      </c>
      <c r="G34" s="26">
        <f>$C34*D34</f>
        <v/>
      </c>
      <c r="H34" s="26">
        <f>$C34*E34</f>
        <v/>
      </c>
      <c r="I34" s="26">
        <f>$C34*F34</f>
        <v/>
      </c>
      <c r="J34" s="27" t="inlineStr">
        <is>
          <t>Month 1</t>
        </is>
      </c>
      <c r="K34" s="17" t="inlineStr">
        <is>
          <t>The Business Profile promises 24/7 guest support. It needs its own line and device.</t>
        </is>
      </c>
    </row>
    <row r="35" ht="24" customHeight="1">
      <c r="A35" s="14" t="inlineStr">
        <is>
          <t>D3</t>
        </is>
      </c>
      <c r="B35" s="23" t="inlineStr">
        <is>
          <t>Printer / scanner (contracts, DET paperwork)</t>
        </is>
      </c>
      <c r="C35" s="24" t="n">
        <v>1</v>
      </c>
      <c r="D35" s="25" t="n">
        <v>500</v>
      </c>
      <c r="E35" s="25" t="n">
        <v>850</v>
      </c>
      <c r="F35" s="25" t="n">
        <v>1500</v>
      </c>
      <c r="G35" s="26">
        <f>$C35*D35</f>
        <v/>
      </c>
      <c r="H35" s="26">
        <f>$C35*E35</f>
        <v/>
      </c>
      <c r="I35" s="26">
        <f>$C35*F35</f>
        <v/>
      </c>
      <c r="J35" s="27" t="inlineStr">
        <is>
          <t>Month 1</t>
        </is>
      </c>
      <c r="K35" s="17" t="inlineStr"/>
    </row>
    <row r="36" ht="24" customHeight="1">
      <c r="A36" s="14" t="inlineStr">
        <is>
          <t>D4</t>
        </is>
      </c>
      <c r="B36" s="23" t="inlineStr">
        <is>
          <t>Office desk, chairs &amp; storage</t>
        </is>
      </c>
      <c r="C36" s="24" t="n">
        <v>1</v>
      </c>
      <c r="D36" s="25" t="n">
        <v>1800</v>
      </c>
      <c r="E36" s="25" t="n">
        <v>3200</v>
      </c>
      <c r="F36" s="25" t="n">
        <v>6000</v>
      </c>
      <c r="G36" s="26">
        <f>$C36*D36</f>
        <v/>
      </c>
      <c r="H36" s="26">
        <f>$C36*E36</f>
        <v/>
      </c>
      <c r="I36" s="26">
        <f>$C36*F36</f>
        <v/>
      </c>
      <c r="J36" s="27" t="inlineStr">
        <is>
          <t>Month 1</t>
        </is>
      </c>
      <c r="K36" s="17" t="inlineStr"/>
    </row>
    <row r="37" ht="24" customHeight="1">
      <c r="A37" s="14" t="inlineStr">
        <is>
          <t>D5</t>
        </is>
      </c>
      <c r="B37" s="23" t="inlineStr">
        <is>
          <t>Key-safe cabinet &amp; spare-key management system</t>
        </is>
      </c>
      <c r="C37" s="24" t="n">
        <v>1</v>
      </c>
      <c r="D37" s="25" t="n">
        <v>500</v>
      </c>
      <c r="E37" s="25" t="n">
        <v>900</v>
      </c>
      <c r="F37" s="25" t="n">
        <v>1600</v>
      </c>
      <c r="G37" s="26">
        <f>$C37*D37</f>
        <v/>
      </c>
      <c r="H37" s="26">
        <f>$C37*E37</f>
        <v/>
      </c>
      <c r="I37" s="26">
        <f>$C37*F37</f>
        <v/>
      </c>
      <c r="J37" s="27" t="inlineStr">
        <is>
          <t>Month 1</t>
        </is>
      </c>
      <c r="K37" s="17" t="inlineStr">
        <is>
          <t>Physical key control across a multi-unit portfolio. An audit point for owners.</t>
        </is>
      </c>
    </row>
    <row r="38" ht="24" customHeight="1">
      <c r="A38" s="14" t="inlineStr">
        <is>
          <t>D6</t>
        </is>
      </c>
      <c r="B38" s="23" t="inlineStr">
        <is>
          <t>Router, networking &amp; basic office IT</t>
        </is>
      </c>
      <c r="C38" s="24" t="n">
        <v>1</v>
      </c>
      <c r="D38" s="25" t="n">
        <v>300</v>
      </c>
      <c r="E38" s="25" t="n">
        <v>550</v>
      </c>
      <c r="F38" s="25" t="n">
        <v>1000</v>
      </c>
      <c r="G38" s="26">
        <f>$C38*D38</f>
        <v/>
      </c>
      <c r="H38" s="26">
        <f>$C38*E38</f>
        <v/>
      </c>
      <c r="I38" s="26">
        <f>$C38*F38</f>
        <v/>
      </c>
      <c r="J38" s="27" t="inlineStr">
        <is>
          <t>Month 1</t>
        </is>
      </c>
      <c r="K38" s="17" t="inlineStr"/>
    </row>
    <row r="39" ht="18" customHeight="1">
      <c r="A39" s="4" t="inlineStr">
        <is>
          <t>E. DEPOSITS &amp; PREPAYMENTS</t>
        </is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 ht="24" customHeight="1">
      <c r="A40" s="14" t="inlineStr">
        <is>
          <t>E1</t>
        </is>
      </c>
      <c r="B40" s="23" t="inlineStr">
        <is>
          <t>Office rent security deposit (refundable)</t>
        </is>
      </c>
      <c r="C40" s="24" t="n">
        <v>1</v>
      </c>
      <c r="D40" s="25" t="n">
        <v>2500</v>
      </c>
      <c r="E40" s="25" t="n">
        <v>5000</v>
      </c>
      <c r="F40" s="25" t="n">
        <v>9000</v>
      </c>
      <c r="G40" s="26">
        <f>$C40*D40</f>
        <v/>
      </c>
      <c r="H40" s="26">
        <f>$C40*E40</f>
        <v/>
      </c>
      <c r="I40" s="26">
        <f>$C40*F40</f>
        <v/>
      </c>
      <c r="J40" s="27" t="inlineStr">
        <is>
          <t>Month 1</t>
        </is>
      </c>
      <c r="K40" s="17" t="inlineStr">
        <is>
          <t>Refundable at lease end. Cash out on day one.</t>
        </is>
      </c>
    </row>
    <row r="41" ht="24" customHeight="1">
      <c r="A41" s="14" t="inlineStr">
        <is>
          <t>E2</t>
        </is>
      </c>
      <c r="B41" s="23" t="inlineStr">
        <is>
          <t>DEWA office connection deposit (refundable)</t>
        </is>
      </c>
      <c r="C41" s="24" t="n">
        <v>1</v>
      </c>
      <c r="D41" s="25" t="n">
        <v>1000</v>
      </c>
      <c r="E41" s="25" t="n">
        <v>2000</v>
      </c>
      <c r="F41" s="25" t="n">
        <v>3500</v>
      </c>
      <c r="G41" s="26">
        <f>$C41*D41</f>
        <v/>
      </c>
      <c r="H41" s="26">
        <f>$C41*E41</f>
        <v/>
      </c>
      <c r="I41" s="26">
        <f>$C41*F41</f>
        <v/>
      </c>
      <c r="J41" s="27" t="inlineStr">
        <is>
          <t>Month 1</t>
        </is>
      </c>
      <c r="K41" s="17" t="inlineStr">
        <is>
          <t>Refundable.</t>
        </is>
      </c>
    </row>
    <row r="42" ht="36" customHeight="1">
      <c r="A42" s="14" t="inlineStr">
        <is>
          <t>E3</t>
        </is>
      </c>
      <c r="B42" s="23" t="inlineStr">
        <is>
          <t>Public liability &amp; professional indemnity — first-year premium prepayment</t>
        </is>
      </c>
      <c r="C42" s="24" t="n">
        <v>1</v>
      </c>
      <c r="D42" s="25" t="n">
        <v>1500</v>
      </c>
      <c r="E42" s="25" t="n">
        <v>2800</v>
      </c>
      <c r="F42" s="25" t="n">
        <v>5000</v>
      </c>
      <c r="G42" s="26">
        <f>$C42*D42</f>
        <v/>
      </c>
      <c r="H42" s="26">
        <f>$C42*E42</f>
        <v/>
      </c>
      <c r="I42" s="26">
        <f>$C42*F42</f>
        <v/>
      </c>
      <c r="J42" s="27" t="inlineStr">
        <is>
          <t>Month 1</t>
        </is>
      </c>
      <c r="K42" s="17" t="inlineStr">
        <is>
          <t>Insurers commonly require the first year up front. The ongoing accrual also appears in OPEX — do not double-count when consolidating; treat this as the timing of the cash, not an extra cost.</t>
        </is>
      </c>
    </row>
    <row r="44">
      <c r="A44" s="4" t="inlineStr">
        <is>
          <t>TOTALS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</row>
    <row r="45">
      <c r="A45" s="29" t="n"/>
      <c r="B45" s="30" t="inlineStr">
        <is>
          <t>A. COMPANY FORMATION, LICENSING &amp; REGULATORY</t>
        </is>
      </c>
      <c r="C45" s="29" t="n"/>
      <c r="D45" s="29" t="n"/>
      <c r="E45" s="29" t="n"/>
      <c r="F45" s="29" t="n"/>
      <c r="G45" s="31">
        <f>SUM(G6:G17)</f>
        <v/>
      </c>
      <c r="H45" s="31">
        <f>SUM(H6:H17)</f>
        <v/>
      </c>
      <c r="I45" s="31">
        <f>SUM(I6:I17)</f>
        <v/>
      </c>
      <c r="J45" s="29" t="n"/>
      <c r="K45" s="29" t="n"/>
    </row>
    <row r="46">
      <c r="A46" s="29" t="n"/>
      <c r="B46" s="30" t="inlineStr">
        <is>
          <t>B. TECHNOLOGY, PLATFORM &amp; DIGITAL SETUP</t>
        </is>
      </c>
      <c r="C46" s="29" t="n"/>
      <c r="D46" s="29" t="n"/>
      <c r="E46" s="29" t="n"/>
      <c r="F46" s="29" t="n"/>
      <c r="G46" s="31">
        <f>SUM(G19:G25)</f>
        <v/>
      </c>
      <c r="H46" s="31">
        <f>SUM(H19:H25)</f>
        <v/>
      </c>
      <c r="I46" s="31">
        <f>SUM(I19:I25)</f>
        <v/>
      </c>
      <c r="J46" s="29" t="n"/>
      <c r="K46" s="29" t="n"/>
    </row>
    <row r="47">
      <c r="A47" s="29" t="n"/>
      <c r="B47" s="30" t="inlineStr">
        <is>
          <t>C. BRAND &amp; MARKETING SETUP</t>
        </is>
      </c>
      <c r="C47" s="29" t="n"/>
      <c r="D47" s="29" t="n"/>
      <c r="E47" s="29" t="n"/>
      <c r="F47" s="29" t="n"/>
      <c r="G47" s="31">
        <f>SUM(G27:G31)</f>
        <v/>
      </c>
      <c r="H47" s="31">
        <f>SUM(H27:H31)</f>
        <v/>
      </c>
      <c r="I47" s="31">
        <f>SUM(I27:I31)</f>
        <v/>
      </c>
      <c r="J47" s="29" t="n"/>
      <c r="K47" s="29" t="n"/>
    </row>
    <row r="48">
      <c r="A48" s="29" t="n"/>
      <c r="B48" s="30" t="inlineStr">
        <is>
          <t>D. OFFICE EQUIPMENT &amp; FURNITURE (DUBAI)</t>
        </is>
      </c>
      <c r="C48" s="29" t="n"/>
      <c r="D48" s="29" t="n"/>
      <c r="E48" s="29" t="n"/>
      <c r="F48" s="29" t="n"/>
      <c r="G48" s="31">
        <f>SUM(G33:G38)</f>
        <v/>
      </c>
      <c r="H48" s="31">
        <f>SUM(H33:H38)</f>
        <v/>
      </c>
      <c r="I48" s="31">
        <f>SUM(I33:I38)</f>
        <v/>
      </c>
      <c r="J48" s="29" t="n"/>
      <c r="K48" s="29" t="n"/>
    </row>
    <row r="49">
      <c r="A49" s="29" t="n"/>
      <c r="B49" s="30" t="inlineStr">
        <is>
          <t>E. DEPOSITS &amp; PREPAYMENTS</t>
        </is>
      </c>
      <c r="C49" s="29" t="n"/>
      <c r="D49" s="29" t="n"/>
      <c r="E49" s="29" t="n"/>
      <c r="F49" s="29" t="n"/>
      <c r="G49" s="31">
        <f>SUM(G40:G42)</f>
        <v/>
      </c>
      <c r="H49" s="31">
        <f>SUM(H40:H42)</f>
        <v/>
      </c>
      <c r="I49" s="31">
        <f>SUM(I40:I42)</f>
        <v/>
      </c>
      <c r="J49" s="29" t="n"/>
      <c r="K49" s="29" t="n"/>
    </row>
    <row r="50">
      <c r="A50" s="32" t="n"/>
      <c r="B50" s="33" t="inlineStr">
        <is>
          <t>SUBTOTAL — company setup (excl. unit setup)</t>
        </is>
      </c>
      <c r="C50" s="32" t="n"/>
      <c r="D50" s="32" t="n"/>
      <c r="E50" s="32" t="n"/>
      <c r="F50" s="32" t="n"/>
      <c r="G50" s="34">
        <f>G45+G46+G47+G48+G49</f>
        <v/>
      </c>
      <c r="H50" s="34">
        <f>H45+H46+H47+H48+H49</f>
        <v/>
      </c>
      <c r="I50" s="34">
        <f>I45+I46+I47+I48+I49</f>
        <v/>
      </c>
      <c r="J50" s="32" t="n"/>
      <c r="K50" s="32" t="n"/>
    </row>
    <row r="51">
      <c r="B51" s="8" t="inlineStr">
        <is>
          <t>Unit setup CAPEX — 1 unit</t>
        </is>
      </c>
      <c r="G51" s="35">
        <f>'Unit Setup (1 Unit)'!D17</f>
        <v/>
      </c>
      <c r="H51" s="35">
        <f>'Unit Setup (1 Unit)'!E17</f>
        <v/>
      </c>
      <c r="I51" s="35">
        <f>'Unit Setup (1 Unit)'!F17</f>
        <v/>
      </c>
      <c r="K51" s="36" t="inlineStr">
        <is>
          <t>Links to 'Unit Setup (1 Unit)'. Per HJ, sized for one unit only.</t>
        </is>
      </c>
    </row>
    <row r="52">
      <c r="B52" s="37" t="inlineStr">
        <is>
          <t>Contingency on company setup</t>
        </is>
      </c>
      <c r="C52" s="38" t="n">
        <v>0.1</v>
      </c>
      <c r="G52" s="39">
        <f>G50*$C$52</f>
        <v/>
      </c>
      <c r="H52" s="39">
        <f>H50*$C$52</f>
        <v/>
      </c>
      <c r="I52" s="39">
        <f>I50*$C$52</f>
        <v/>
      </c>
      <c r="K52" s="36" t="inlineStr">
        <is>
          <t>Unit-setup contingency is already applied on its own tab — not double-counted here.</t>
        </is>
      </c>
    </row>
    <row r="53" ht="20" customHeight="1">
      <c r="A53" s="5" t="n"/>
      <c r="B53" s="19" t="inlineStr">
        <is>
          <t>TOTAL CAPEX REQUIRED</t>
        </is>
      </c>
      <c r="C53" s="5" t="n"/>
      <c r="D53" s="5" t="n"/>
      <c r="E53" s="5" t="n"/>
      <c r="F53" s="5" t="n"/>
      <c r="G53" s="20">
        <f>G50+G51+G52</f>
        <v/>
      </c>
      <c r="H53" s="20">
        <f>H50+H51+H52</f>
        <v/>
      </c>
      <c r="I53" s="20">
        <f>I50+I51+I52</f>
        <v/>
      </c>
      <c r="J53" s="5" t="n"/>
      <c r="K53" s="5" t="n"/>
    </row>
    <row r="55">
      <c r="B55" s="40" t="inlineStr">
        <is>
          <t>MEMO — not CAPEX</t>
        </is>
      </c>
    </row>
    <row r="56" ht="26" customHeight="1">
      <c r="B56" s="37" t="inlineStr">
        <is>
          <t>Bank minimum / average balance requirement (blocked, not a cost)</t>
        </is>
      </c>
      <c r="G56" s="41" t="n">
        <v>25000</v>
      </c>
      <c r="H56" s="41" t="n">
        <v>50000</v>
      </c>
      <c r="I56" s="41" t="n">
        <v>150000</v>
      </c>
      <c r="K56" s="42" t="inlineStr">
        <is>
          <t>UAE corporate accounts typically require an average balance of AED 25k–150k depending on the bank. It is a blocked asset, not expenditure — excluded from the CAPEX total above.</t>
        </is>
      </c>
    </row>
    <row r="57">
      <c r="B57" s="37" t="inlineStr">
        <is>
          <t>Refundable deposits included above (E1, E2, A12)</t>
        </is>
      </c>
      <c r="G57" s="39">
        <f>G17+G40+G41</f>
        <v/>
      </c>
      <c r="H57" s="39">
        <f>H17+H40+H41</f>
        <v/>
      </c>
      <c r="I57" s="39">
        <f>I17+I40+I41</f>
        <v/>
      </c>
      <c r="K57" s="42" t="inlineStr">
        <is>
          <t>Cash out on day one but recoverable. Useful for the bank when distinguishing sunk cost from working capital.</t>
        </is>
      </c>
    </row>
  </sheetData>
  <mergeCells count="8">
    <mergeCell ref="A1:J1"/>
    <mergeCell ref="A18:K18"/>
    <mergeCell ref="A26:K26"/>
    <mergeCell ref="A39:K39"/>
    <mergeCell ref="A32:K32"/>
    <mergeCell ref="A2:J2"/>
    <mergeCell ref="A44:K44"/>
    <mergeCell ref="A5:K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56" customWidth="1" min="2" max="2"/>
    <col width="8" customWidth="1" min="3" max="3"/>
    <col width="15" customWidth="1" min="4" max="4"/>
    <col width="15" customWidth="1" min="5" max="5"/>
    <col width="15" customWidth="1" min="6" max="6"/>
    <col width="15" customWidth="1" min="7" max="7"/>
    <col width="62" customWidth="1" min="8" max="8"/>
  </cols>
  <sheetData>
    <row r="1" ht="26" customHeight="1">
      <c r="A1" s="1" t="inlineStr">
        <is>
          <t>UNIT SETUP CAPEX — COST TO BRING ONE UNIT LIVE</t>
        </is>
      </c>
      <c r="B1" s="2" t="n"/>
      <c r="C1" s="2" t="n"/>
      <c r="D1" s="2" t="n"/>
      <c r="E1" s="2" t="n"/>
      <c r="F1" s="2" t="n"/>
      <c r="G1" s="2" t="n"/>
      <c r="H1" s="2" t="n"/>
    </row>
    <row r="2" ht="16" customHeight="1">
      <c r="A2" s="3" t="inlineStr">
        <is>
          <t>Commission-only model: the owner supplies the furnished apartment. Orizuru funds only the operating layer.</t>
        </is>
      </c>
      <c r="B2" s="2" t="n"/>
      <c r="C2" s="2" t="n"/>
      <c r="D2" s="2" t="n"/>
      <c r="E2" s="2" t="n"/>
      <c r="F2" s="2" t="n"/>
      <c r="G2" s="2" t="n"/>
      <c r="H2" s="2" t="n"/>
    </row>
    <row r="4" ht="30" customHeight="1">
      <c r="A4" s="13" t="inlineStr">
        <is>
          <t>Ref</t>
        </is>
      </c>
      <c r="B4" s="13" t="inlineStr">
        <is>
          <t>Line item</t>
        </is>
      </c>
      <c r="C4" s="13" t="inlineStr">
        <is>
          <t>Qty</t>
        </is>
      </c>
      <c r="D4" s="13" t="inlineStr">
        <is>
          <t>Unit cost — Low</t>
        </is>
      </c>
      <c r="E4" s="13" t="inlineStr">
        <is>
          <t>Unit cost — Base</t>
        </is>
      </c>
      <c r="F4" s="13" t="inlineStr">
        <is>
          <t>Unit cost — High</t>
        </is>
      </c>
      <c r="G4" s="13" t="inlineStr">
        <is>
          <t>Total — Base</t>
        </is>
      </c>
      <c r="H4" s="13" t="inlineStr">
        <is>
          <t>Basis / note</t>
        </is>
      </c>
    </row>
    <row r="5" ht="26" customHeight="1">
      <c r="A5" s="14" t="inlineStr">
        <is>
          <t>U1</t>
        </is>
      </c>
      <c r="B5" s="14" t="inlineStr">
        <is>
          <t>DET holiday-home permit — first issue (per unit, per year)</t>
        </is>
      </c>
      <c r="C5" s="24" t="n">
        <v>1</v>
      </c>
      <c r="D5" s="25" t="n">
        <v>1200</v>
      </c>
      <c r="E5" s="25" t="n">
        <v>1520</v>
      </c>
      <c r="F5" s="25" t="n">
        <v>1800</v>
      </c>
      <c r="G5" s="26">
        <f>C5*E5</f>
        <v/>
      </c>
      <c r="H5" s="17" t="inlineStr">
        <is>
          <t>Dubai Dept. of Economy &amp; Tourism per-unit permit. Usually re-charged to the owner — confirm in the management contract.</t>
        </is>
      </c>
    </row>
    <row r="6" ht="26" customHeight="1">
      <c r="A6" s="14" t="inlineStr">
        <is>
          <t>U2</t>
        </is>
      </c>
      <c r="B6" s="14" t="inlineStr">
        <is>
          <t>Smart lock / keyless entry device + install</t>
        </is>
      </c>
      <c r="C6" s="24" t="n">
        <v>1</v>
      </c>
      <c r="D6" s="25" t="n">
        <v>850</v>
      </c>
      <c r="E6" s="25" t="n">
        <v>1200</v>
      </c>
      <c r="F6" s="25" t="n">
        <v>1700</v>
      </c>
      <c r="G6" s="26">
        <f>C6*E6</f>
        <v/>
      </c>
      <c r="H6" s="17" t="inlineStr">
        <is>
          <t>Essential for self check-in. Removes the cost of a physical key handover per booking.</t>
        </is>
      </c>
    </row>
    <row r="7" ht="26" customHeight="1">
      <c r="A7" s="14" t="inlineStr">
        <is>
          <t>U3</t>
        </is>
      </c>
      <c r="B7" s="14" t="inlineStr">
        <is>
          <t>Professional listing photography (unit)</t>
        </is>
      </c>
      <c r="C7" s="24" t="n">
        <v>1</v>
      </c>
      <c r="D7" s="25" t="n">
        <v>500</v>
      </c>
      <c r="E7" s="25" t="n">
        <v>800</v>
      </c>
      <c r="F7" s="25" t="n">
        <v>1400</v>
      </c>
      <c r="G7" s="26">
        <f>C7*E7</f>
        <v/>
      </c>
      <c r="H7" s="17" t="inlineStr">
        <is>
          <t>Single biggest driver of conversion on Airbnb / Booking.com. Do not economise here.</t>
        </is>
      </c>
    </row>
    <row r="8" ht="26" customHeight="1">
      <c r="A8" s="14" t="inlineStr">
        <is>
          <t>U4</t>
        </is>
      </c>
      <c r="B8" s="14" t="inlineStr">
        <is>
          <t>Linen &amp; towel par stock — 3 sets</t>
        </is>
      </c>
      <c r="C8" s="24" t="n">
        <v>1</v>
      </c>
      <c r="D8" s="25" t="n">
        <v>1100</v>
      </c>
      <c r="E8" s="25" t="n">
        <v>1800</v>
      </c>
      <c r="F8" s="25" t="n">
        <v>2600</v>
      </c>
      <c r="G8" s="26">
        <f>C8*E8</f>
        <v/>
      </c>
      <c r="H8" s="17" t="inlineStr">
        <is>
          <t>3 sets allows one in use, one in laundry, one on the shelf. Required for same-day turnovers.</t>
        </is>
      </c>
    </row>
    <row r="9" ht="26" customHeight="1">
      <c r="A9" s="14" t="inlineStr">
        <is>
          <t>U5</t>
        </is>
      </c>
      <c r="B9" s="14" t="inlineStr">
        <is>
          <t>Welcome &amp; amenity kit (branded, Japanese-hospitality standard)</t>
        </is>
      </c>
      <c r="C9" s="24" t="n">
        <v>1</v>
      </c>
      <c r="D9" s="25" t="n">
        <v>300</v>
      </c>
      <c r="E9" s="25" t="n">
        <v>450</v>
      </c>
      <c r="F9" s="25" t="n">
        <v>700</v>
      </c>
      <c r="G9" s="26">
        <f>C9*E9</f>
        <v/>
      </c>
      <c r="H9" s="17" t="inlineStr">
        <is>
          <t>Brand differentiator per the Ma / Shibui positioning in the Business Profile.</t>
        </is>
      </c>
    </row>
    <row r="10" ht="26" customHeight="1">
      <c r="A10" s="14" t="inlineStr">
        <is>
          <t>U6</t>
        </is>
      </c>
      <c r="B10" s="14" t="inlineStr">
        <is>
          <t>Safety kit — smoke detector, fire extinguisher, first-aid box</t>
        </is>
      </c>
      <c r="C10" s="24" t="n">
        <v>1</v>
      </c>
      <c r="D10" s="25" t="n">
        <v>380</v>
      </c>
      <c r="E10" s="25" t="n">
        <v>550</v>
      </c>
      <c r="F10" s="25" t="n">
        <v>800</v>
      </c>
      <c r="G10" s="26">
        <f>C10*E10</f>
        <v/>
      </c>
      <c r="H10" s="17" t="inlineStr">
        <is>
          <t>DET holiday-home inspection requirement.</t>
        </is>
      </c>
    </row>
    <row r="11" ht="26" customHeight="1">
      <c r="A11" s="14" t="inlineStr">
        <is>
          <t>U7</t>
        </is>
      </c>
      <c r="B11" s="14" t="inlineStr">
        <is>
          <t>Small appliances &amp; inventory top-up (kettle, iron, hairdryer, crockery gaps)</t>
        </is>
      </c>
      <c r="C11" s="24" t="n">
        <v>1</v>
      </c>
      <c r="D11" s="25" t="n">
        <v>500</v>
      </c>
      <c r="E11" s="25" t="n">
        <v>900</v>
      </c>
      <c r="F11" s="25" t="n">
        <v>1600</v>
      </c>
      <c r="G11" s="26">
        <f>C11*E11</f>
        <v/>
      </c>
      <c r="H11" s="17" t="inlineStr">
        <is>
          <t>Covers the gap between what the owner supplies and DET / guest expectation.</t>
        </is>
      </c>
    </row>
    <row r="12" ht="26" customHeight="1">
      <c r="A12" s="14" t="inlineStr">
        <is>
          <t>U8</t>
        </is>
      </c>
      <c r="B12" s="14" t="inlineStr">
        <is>
          <t>Initial deep clean &amp; staging before first listing</t>
        </is>
      </c>
      <c r="C12" s="24" t="n">
        <v>1</v>
      </c>
      <c r="D12" s="25" t="n">
        <v>400</v>
      </c>
      <c r="E12" s="25" t="n">
        <v>600</v>
      </c>
      <c r="F12" s="25" t="n">
        <v>950</v>
      </c>
      <c r="G12" s="26">
        <f>C12*E12</f>
        <v/>
      </c>
      <c r="H12" s="17" t="inlineStr">
        <is>
          <t>One-off. Routine turnover cleaning sits in OPEX.</t>
        </is>
      </c>
    </row>
    <row r="13" ht="26" customHeight="1">
      <c r="A13" s="14" t="inlineStr">
        <is>
          <t>U9</t>
        </is>
      </c>
      <c r="B13" s="14" t="inlineStr">
        <is>
          <t>Inventory &amp; condition report, listing build, channel sync</t>
        </is>
      </c>
      <c r="C13" s="24" t="n">
        <v>1</v>
      </c>
      <c r="D13" s="25" t="n">
        <v>200</v>
      </c>
      <c r="E13" s="25" t="n">
        <v>300</v>
      </c>
      <c r="F13" s="25" t="n">
        <v>500</v>
      </c>
      <c r="G13" s="26">
        <f>C13*E13</f>
        <v/>
      </c>
      <c r="H13" s="17" t="inlineStr">
        <is>
          <t>Protects against damage disputes and is the baseline for owner reporting.</t>
        </is>
      </c>
    </row>
    <row r="14" ht="26" customHeight="1">
      <c r="A14" s="14" t="inlineStr">
        <is>
          <t>U10</t>
        </is>
      </c>
      <c r="B14" s="14" t="inlineStr">
        <is>
          <t>Guest welcome book, house rules, signage (printed)</t>
        </is>
      </c>
      <c r="C14" s="24" t="n">
        <v>1</v>
      </c>
      <c r="D14" s="25" t="n">
        <v>120</v>
      </c>
      <c r="E14" s="25" t="n">
        <v>200</v>
      </c>
      <c r="F14" s="25" t="n">
        <v>350</v>
      </c>
      <c r="G14" s="26">
        <f>C14*E14</f>
        <v/>
      </c>
      <c r="H14" s="17" t="inlineStr">
        <is>
          <t>Reduces avoidable guest-support contacts.</t>
        </is>
      </c>
    </row>
    <row r="15">
      <c r="A15" s="32" t="n"/>
      <c r="B15" s="33" t="inlineStr">
        <is>
          <t>Subtotal — per unit</t>
        </is>
      </c>
      <c r="C15" s="32" t="n"/>
      <c r="D15" s="34">
        <f>SUMPRODUCT($C$5:$C$14,D5:D14)</f>
        <v/>
      </c>
      <c r="E15" s="34">
        <f>SUMPRODUCT($C$5:$C$14,E5:E14)</f>
        <v/>
      </c>
      <c r="F15" s="34">
        <f>SUMPRODUCT($C$5:$C$14,F5:F14)</f>
        <v/>
      </c>
      <c r="G15" s="34">
        <f>SUM(G5:G14)</f>
        <v/>
      </c>
      <c r="H15" s="32" t="n"/>
    </row>
    <row r="16">
      <c r="B16" s="37" t="inlineStr">
        <is>
          <t>Contingency</t>
        </is>
      </c>
      <c r="C16" s="38" t="n">
        <v>0.1</v>
      </c>
      <c r="D16" s="39">
        <f>D15*$C$16</f>
        <v/>
      </c>
      <c r="E16" s="39">
        <f>E15*$C$16</f>
        <v/>
      </c>
      <c r="F16" s="39">
        <f>F15*$C$16</f>
        <v/>
      </c>
      <c r="G16" s="39">
        <f>G15*$C$16</f>
        <v/>
      </c>
      <c r="H16" s="36" t="inlineStr">
        <is>
          <t>Applied to the per-unit subtotal. Covers price movement on permits and hardware.</t>
        </is>
      </c>
    </row>
    <row r="17" ht="20" customHeight="1">
      <c r="A17" s="5" t="n"/>
      <c r="B17" s="19" t="inlineStr">
        <is>
          <t>TOTAL CAPEX PER UNIT</t>
        </is>
      </c>
      <c r="C17" s="5" t="n"/>
      <c r="D17" s="20">
        <f>D15+D16</f>
        <v/>
      </c>
      <c r="E17" s="20">
        <f>E15+E16</f>
        <v/>
      </c>
      <c r="F17" s="20">
        <f>F15+F16</f>
        <v/>
      </c>
      <c r="G17" s="20">
        <f>G15+G16</f>
        <v/>
      </c>
      <c r="H17" s="5" t="n"/>
    </row>
    <row r="20">
      <c r="A20" s="4" t="inlineStr">
        <is>
          <t>PORTFOLIO SCALING REFERENCE — FOR INFORMATION ONLY, NOT INCLUDED IN THE CAPEX TOTAL</t>
        </is>
      </c>
      <c r="B20" s="5" t="n"/>
      <c r="C20" s="5" t="n"/>
      <c r="D20" s="5" t="n"/>
      <c r="E20" s="5" t="n"/>
      <c r="F20" s="5" t="n"/>
      <c r="G20" s="5" t="n"/>
      <c r="H20" s="5" t="n"/>
    </row>
    <row r="21" ht="26" customHeight="1">
      <c r="A21" s="42" t="inlineStr">
        <is>
          <t>Per HJ, the CAPEX total is built for ONE unit. This table shows what the same unit-setup cost becomes at portfolio scale, against the Business Profile's 70–80 unit Year-1 target.</t>
        </is>
      </c>
    </row>
    <row r="23">
      <c r="A23" s="43" t="inlineStr">
        <is>
          <t>Units</t>
        </is>
      </c>
      <c r="B23" s="43" t="inlineStr">
        <is>
          <t>Total — Low</t>
        </is>
      </c>
      <c r="C23" s="43" t="inlineStr">
        <is>
          <t>Total — Base</t>
        </is>
      </c>
      <c r="D23" s="43" t="inlineStr">
        <is>
          <t>Total — High</t>
        </is>
      </c>
    </row>
    <row r="24">
      <c r="A24" s="44" t="n">
        <v>1</v>
      </c>
      <c r="B24" s="39">
        <f>$A24*D$17</f>
        <v/>
      </c>
      <c r="C24" s="39">
        <f>$A24*E$17</f>
        <v/>
      </c>
      <c r="D24" s="39">
        <f>$A24*F$17</f>
        <v/>
      </c>
    </row>
    <row r="25">
      <c r="A25" s="44" t="n">
        <v>5</v>
      </c>
      <c r="B25" s="39">
        <f>$A25*D$17</f>
        <v/>
      </c>
      <c r="C25" s="39">
        <f>$A25*E$17</f>
        <v/>
      </c>
      <c r="D25" s="39">
        <f>$A25*F$17</f>
        <v/>
      </c>
    </row>
    <row r="26">
      <c r="A26" s="44" t="n">
        <v>10</v>
      </c>
      <c r="B26" s="39">
        <f>$A26*D$17</f>
        <v/>
      </c>
      <c r="C26" s="39">
        <f>$A26*E$17</f>
        <v/>
      </c>
      <c r="D26" s="39">
        <f>$A26*F$17</f>
        <v/>
      </c>
    </row>
    <row r="27">
      <c r="A27" s="44" t="n">
        <v>25</v>
      </c>
      <c r="B27" s="39">
        <f>$A27*D$17</f>
        <v/>
      </c>
      <c r="C27" s="39">
        <f>$A27*E$17</f>
        <v/>
      </c>
      <c r="D27" s="39">
        <f>$A27*F$17</f>
        <v/>
      </c>
    </row>
    <row r="28">
      <c r="A28" s="44" t="n">
        <v>50</v>
      </c>
      <c r="B28" s="39">
        <f>$A28*D$17</f>
        <v/>
      </c>
      <c r="C28" s="39">
        <f>$A28*E$17</f>
        <v/>
      </c>
      <c r="D28" s="39">
        <f>$A28*F$17</f>
        <v/>
      </c>
    </row>
    <row r="29">
      <c r="A29" s="45" t="n">
        <v>80</v>
      </c>
      <c r="B29" s="46">
        <f>$A29*D$17</f>
        <v/>
      </c>
      <c r="C29" s="46">
        <f>$A29*E$17</f>
        <v/>
      </c>
      <c r="D29" s="46">
        <f>$A29*F$17</f>
        <v/>
      </c>
    </row>
  </sheetData>
  <mergeCells count="4">
    <mergeCell ref="A20:H20"/>
    <mergeCell ref="A21:H21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2026-08-04T07:28:35Z</dcterms:created>
  <dcterms:modified xsi:type="dcterms:W3CDTF">2026-08-04T07:28:35Z</dcterms:modified>
</cp:coreProperties>
</file>
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OPEX Summary" sheetId="3" state="visible" r:id="rId3"/>
    <sheet name="OPEX Monthly" sheetId="4" state="visible" r:id="rId4"/>
    <sheet name="Marketing Comparison" sheetId="5" state="visible" r:id="rId5"/>
    <sheet name="AI Subscriptions" sheetId="6" state="visible" r:id="rId6"/>
  </sheets>
  <definedNames/>
  <calcPr calcId="124519" fullCalcOnLoad="1"/>
</workbook>
</file>

<file path=xl/styles.xml><?xml version="1.0" encoding="utf-8"?>
<styleSheet xmlns="http://schemas.openxmlformats.org/spreadsheetml/2006/main">
  <numFmts count="5">
    <numFmt numFmtId="164" formatCode="0.0000"/>
    <numFmt numFmtId="165" formatCode="#,##0.00;(#,##0.00);-"/>
    <numFmt numFmtId="166" formatCode="#,##0;(#,##0);-"/>
    <numFmt numFmtId="167" formatCode="0.0%"/>
    <numFmt numFmtId="168" formatCode="#,##0.0;(#,##0.0);-"/>
  </numFmts>
  <fonts count="19">
    <font>
      <name val="Calibri"/>
      <family val="2"/>
      <color theme="1"/>
      <sz val="11"/>
      <scheme val="minor"/>
    </font>
    <font>
      <name val="Arial"/>
      <b val="1"/>
      <color rgb="00FFFFFF"/>
      <sz val="14"/>
    </font>
    <font>
      <name val="Arial"/>
      <color rgb="00FFFFFF"/>
      <sz val="9"/>
    </font>
    <font>
      <name val="Arial"/>
      <sz val="10"/>
    </font>
    <font>
      <name val="Arial"/>
      <color rgb="000000FF"/>
      <sz val="10"/>
    </font>
    <font>
      <name val="Arial"/>
      <i val="1"/>
      <color rgb="00595959"/>
      <sz val="8"/>
    </font>
    <font>
      <name val="Arial"/>
      <b val="1"/>
      <color rgb="00FFFFFF"/>
      <sz val="9"/>
    </font>
    <font>
      <name val="Arial"/>
      <b val="1"/>
      <color rgb="00FFFFFF"/>
      <sz val="11"/>
    </font>
    <font>
      <name val="Arial"/>
      <b val="1"/>
      <sz val="11"/>
    </font>
    <font>
      <name val="Arial"/>
      <b val="1"/>
      <color rgb="000000FF"/>
      <sz val="11"/>
    </font>
    <font>
      <name val="Arial"/>
      <color rgb="00BFBFBF"/>
      <sz val="8"/>
    </font>
    <font>
      <name val="Arial"/>
      <b val="1"/>
      <color rgb="00FFFFFF"/>
      <sz val="10"/>
    </font>
    <font>
      <name val="Arial"/>
      <b val="1"/>
      <sz val="10"/>
    </font>
    <font>
      <name val="Arial"/>
      <color rgb="00008000"/>
      <sz val="10"/>
    </font>
    <font>
      <name val="Arial"/>
      <b val="1"/>
      <sz val="9"/>
    </font>
    <font>
      <name val="Arial"/>
      <color rgb="00808080"/>
      <sz val="9"/>
    </font>
    <font>
      <name val="Arial"/>
      <sz val="9"/>
    </font>
    <font>
      <name val="Arial"/>
      <b val="1"/>
      <color rgb="000000FF"/>
      <sz val="10"/>
    </font>
    <font>
      <name val="Arial"/>
      <b val="1"/>
      <color rgb="00008000"/>
      <sz val="10"/>
    </font>
  </fonts>
  <fills count="9">
    <fill>
      <patternFill/>
    </fill>
    <fill>
      <patternFill patternType="gray125"/>
    </fill>
    <fill>
      <patternFill patternType="solid">
        <fgColor rgb="001F3352"/>
      </patternFill>
    </fill>
    <fill>
      <patternFill patternType="solid">
        <fgColor rgb="00FFFF00"/>
      </patternFill>
    </fill>
    <fill>
      <patternFill patternType="solid">
        <fgColor rgb="006B7F99"/>
      </patternFill>
    </fill>
    <fill>
      <patternFill patternType="solid">
        <fgColor rgb="0041597A"/>
      </patternFill>
    </fill>
    <fill>
      <patternFill patternType="solid">
        <fgColor rgb="00DCE3EC"/>
      </patternFill>
    </fill>
    <fill>
      <patternFill patternType="solid">
        <fgColor rgb="00E4EFE4"/>
      </patternFill>
    </fill>
    <fill>
      <patternFill patternType="solid">
        <fgColor rgb="00E7EDF6"/>
      </patternFill>
    </fill>
  </fills>
  <borders count="3">
    <border>
      <left/>
      <right/>
      <top/>
      <bottom/>
      <diagonal/>
    </border>
    <border>
      <bottom style="thin">
        <color rgb="00C7B99A"/>
      </bottom>
    </border>
    <border>
      <top style="medium">
        <color rgb="001F3352"/>
      </top>
    </border>
  </borders>
  <cellStyleXfs count="1">
    <xf numFmtId="0" fontId="0" fillId="0" borderId="0"/>
  </cellStyleXfs>
  <cellXfs count="79">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11" fillId="5" borderId="0" applyAlignment="1" pivotButton="0" quotePrefix="0" xfId="0">
      <alignment vertical="center" indent="1"/>
    </xf>
    <xf numFmtId="0" fontId="0" fillId="5" borderId="0" pivotButton="0" quotePrefix="0" xfId="0"/>
    <xf numFmtId="0" fontId="6" fillId="4" borderId="0" pivotButton="0" quotePrefix="0" xfId="0"/>
    <xf numFmtId="0" fontId="0" fillId="4" borderId="0" pivotButton="0" quotePrefix="0" xfId="0"/>
    <xf numFmtId="0" fontId="12" fillId="0" borderId="0" pivotButton="0" quotePrefix="0" xfId="0"/>
    <xf numFmtId="0" fontId="3" fillId="0" borderId="0" applyAlignment="1" pivotButton="0" quotePrefix="0" xfId="0">
      <alignment vertical="top" wrapText="1"/>
    </xf>
    <xf numFmtId="0" fontId="17" fillId="0" borderId="0" pivotButton="0" quotePrefix="0" xfId="0"/>
    <xf numFmtId="0" fontId="12" fillId="3" borderId="0" pivotButton="0" quotePrefix="0" xfId="0"/>
    <xf numFmtId="0" fontId="18" fillId="0" borderId="0" pivotButton="0" quotePrefix="0" xfId="0"/>
    <xf numFmtId="0" fontId="8" fillId="0" borderId="0" pivotButton="0" quotePrefix="0" xfId="0"/>
    <xf numFmtId="0" fontId="9" fillId="3" borderId="0" applyAlignment="1" pivotButton="0" quotePrefix="0" xfId="0">
      <alignment horizontal="center"/>
    </xf>
    <xf numFmtId="0" fontId="5" fillId="0" borderId="0" pivotButton="0" quotePrefix="0" xfId="0"/>
    <xf numFmtId="0" fontId="10" fillId="0" borderId="0" pivotButton="0" quotePrefix="0" xfId="0"/>
    <xf numFmtId="0" fontId="3" fillId="0" borderId="0" applyAlignment="1" pivotButton="0" quotePrefix="0" xfId="0">
      <alignment horizontal="center"/>
    </xf>
    <xf numFmtId="0" fontId="3" fillId="0" borderId="0" pivotButton="0" quotePrefix="0" xfId="0"/>
    <xf numFmtId="0" fontId="4" fillId="3" borderId="0" applyAlignment="1" pivotButton="0" quotePrefix="0" xfId="0">
      <alignment horizontal="center"/>
    </xf>
    <xf numFmtId="0" fontId="6" fillId="4" borderId="0" applyAlignment="1" pivotButton="0" quotePrefix="0" xfId="0">
      <alignment horizontal="center" vertical="center" wrapText="1"/>
    </xf>
    <xf numFmtId="0" fontId="3" fillId="0" borderId="1" applyAlignment="1" pivotButton="0" quotePrefix="0" xfId="0">
      <alignment vertical="top" wrapText="1"/>
    </xf>
    <xf numFmtId="0" fontId="3" fillId="0" borderId="1" applyAlignment="1" pivotButton="0" quotePrefix="0" xfId="0">
      <alignment horizontal="center"/>
    </xf>
    <xf numFmtId="166" fontId="4" fillId="0" borderId="1" pivotButton="0" quotePrefix="0" xfId="0"/>
    <xf numFmtId="166" fontId="12" fillId="6" borderId="1" pivotButton="0" quotePrefix="0" xfId="0"/>
    <xf numFmtId="0" fontId="5" fillId="0" borderId="1" applyAlignment="1" pivotButton="0" quotePrefix="0" xfId="0">
      <alignment vertical="top" wrapText="1"/>
    </xf>
    <xf numFmtId="167" fontId="4" fillId="0" borderId="1" pivotButton="0" quotePrefix="0" xfId="0"/>
    <xf numFmtId="167" fontId="12" fillId="6" borderId="1" pivotButton="0" quotePrefix="0" xfId="0"/>
    <xf numFmtId="168" fontId="4" fillId="0" borderId="1" pivotButton="0" quotePrefix="0" xfId="0"/>
    <xf numFmtId="168" fontId="12" fillId="6" borderId="1" pivotButton="0" quotePrefix="0" xfId="0"/>
    <xf numFmtId="166" fontId="3" fillId="0" borderId="1" pivotButton="0" quotePrefix="0" xfId="0"/>
    <xf numFmtId="166" fontId="4" fillId="3" borderId="1" pivotButton="0" quotePrefix="0" xfId="0"/>
    <xf numFmtId="1" fontId="4" fillId="3" borderId="1" pivotButton="0" quotePrefix="0" xfId="0"/>
    <xf numFmtId="1" fontId="12" fillId="6" borderId="1" pivotButton="0" quotePrefix="0" xfId="0"/>
    <xf numFmtId="10" fontId="4" fillId="0" borderId="1" pivotButton="0" quotePrefix="0" xfId="0"/>
    <xf numFmtId="10" fontId="12" fillId="6" borderId="1" pivotButton="0" quotePrefix="0" xfId="0"/>
    <xf numFmtId="10" fontId="4" fillId="3" borderId="1" pivotButton="0" quotePrefix="0" xfId="0"/>
    <xf numFmtId="166" fontId="13" fillId="0" borderId="1" pivotButton="0" quotePrefix="0" xfId="0"/>
    <xf numFmtId="0" fontId="3" fillId="0" borderId="1" pivotButton="0" quotePrefix="0" xfId="0"/>
    <xf numFmtId="167" fontId="3" fillId="0" borderId="1" applyAlignment="1" pivotButton="0" quotePrefix="0" xfId="0">
      <alignment horizontal="center"/>
    </xf>
    <xf numFmtId="0" fontId="0" fillId="0" borderId="1" pivotButton="0" quotePrefix="0" xfId="0"/>
    <xf numFmtId="0" fontId="5" fillId="0" borderId="1" pivotButton="0" quotePrefix="0" xfId="0"/>
    <xf numFmtId="0" fontId="7" fillId="5" borderId="0" pivotButton="0" quotePrefix="0" xfId="0"/>
    <xf numFmtId="166" fontId="7" fillId="5" borderId="0" pivotButton="0" quotePrefix="0" xfId="0"/>
    <xf numFmtId="167" fontId="7" fillId="5" borderId="0" applyAlignment="1" pivotButton="0" quotePrefix="0" xfId="0">
      <alignment horizontal="center"/>
    </xf>
    <xf numFmtId="1" fontId="13" fillId="0" borderId="1" pivotButton="0" quotePrefix="0" xfId="0"/>
    <xf numFmtId="167" fontId="3" fillId="0" borderId="1" pivotButton="0" quotePrefix="0" xfId="0"/>
    <xf numFmtId="0" fontId="16" fillId="0" borderId="0" applyAlignment="1" pivotButton="0" quotePrefix="0" xfId="0">
      <alignment vertical="top" wrapText="1"/>
    </xf>
    <xf numFmtId="0" fontId="6" fillId="4" borderId="0" applyAlignment="1" pivotButton="0" quotePrefix="0" xfId="0">
      <alignment horizontal="left" vertical="center" indent="1"/>
    </xf>
    <xf numFmtId="0" fontId="14" fillId="0" borderId="1" applyAlignment="1" pivotButton="0" quotePrefix="0" xfId="0">
      <alignment vertical="center" wrapText="1" indent="1"/>
    </xf>
    <xf numFmtId="0" fontId="5" fillId="0" borderId="1" applyAlignment="1" pivotButton="0" quotePrefix="0" xfId="0">
      <alignment vertical="center" wrapText="1"/>
    </xf>
    <xf numFmtId="1" fontId="14" fillId="0" borderId="1" pivotButton="0" quotePrefix="0" xfId="0"/>
    <xf numFmtId="0" fontId="4" fillId="0" borderId="1" applyAlignment="1" pivotButton="0" quotePrefix="0" xfId="0">
      <alignment vertical="center" wrapText="1" indent="1"/>
    </xf>
    <xf numFmtId="0" fontId="3" fillId="0" borderId="1" applyAlignment="1" pivotButton="0" quotePrefix="0" xfId="0">
      <alignment vertical="center" wrapText="1" indent="1"/>
    </xf>
    <xf numFmtId="1" fontId="3" fillId="0" borderId="1" pivotButton="0" quotePrefix="0" xfId="0"/>
    <xf numFmtId="1" fontId="4" fillId="0" borderId="1" pivotButton="0" quotePrefix="0" xfId="0"/>
    <xf numFmtId="0" fontId="15" fillId="0" borderId="1" applyAlignment="1" pivotButton="0" quotePrefix="0" xfId="0">
      <alignment vertical="center" wrapText="1" indent="1"/>
    </xf>
    <xf numFmtId="1" fontId="15" fillId="0" borderId="1" pivotButton="0" quotePrefix="0" xfId="0"/>
    <xf numFmtId="0" fontId="12" fillId="6" borderId="2" applyAlignment="1" pivotButton="0" quotePrefix="0" xfId="0">
      <alignment indent="1"/>
    </xf>
    <xf numFmtId="0" fontId="0" fillId="6" borderId="2" pivotButton="0" quotePrefix="0" xfId="0"/>
    <xf numFmtId="166" fontId="12" fillId="6" borderId="2" pivotButton="0" quotePrefix="0" xfId="0"/>
    <xf numFmtId="167" fontId="12" fillId="6" borderId="2" applyAlignment="1" pivotButton="0" quotePrefix="0" xfId="0">
      <alignment horizontal="center"/>
    </xf>
    <xf numFmtId="166" fontId="3" fillId="7" borderId="1" pivotButton="0" quotePrefix="0" xfId="0"/>
    <xf numFmtId="166" fontId="3" fillId="8" borderId="1" pivotButton="0" quotePrefix="0" xfId="0"/>
    <xf numFmtId="166" fontId="3" fillId="3" borderId="1" pivotButton="0" quotePrefix="0" xfId="0"/>
    <xf numFmtId="0" fontId="12" fillId="0" borderId="1" applyAlignment="1" pivotButton="0" quotePrefix="0" xfId="0">
      <alignment indent="1"/>
    </xf>
    <xf numFmtId="166" fontId="12" fillId="0" borderId="1" pivotButton="0" quotePrefix="0" xfId="0"/>
    <xf numFmtId="0" fontId="3" fillId="0" borderId="1" applyAlignment="1" pivotButton="0" quotePrefix="0" xfId="0">
      <alignment indent="1"/>
    </xf>
    <xf numFmtId="0" fontId="7" fillId="5" borderId="0" applyAlignment="1" pivotButton="0" quotePrefix="0" xfId="0">
      <alignment indent="1"/>
    </xf>
    <xf numFmtId="166" fontId="3" fillId="6" borderId="1" pivotButton="0" quotePrefix="0" xfId="0"/>
    <xf numFmtId="0" fontId="12" fillId="0" borderId="1" applyAlignment="1" pivotButton="0" quotePrefix="0" xfId="0">
      <alignment vertical="center" wrapText="1" indent="1"/>
    </xf>
    <xf numFmtId="1" fontId="3" fillId="0" borderId="0" pivotButton="0" quotePrefix="0" xfId="0"/>
    <xf numFmtId="166" fontId="3" fillId="0" borderId="0" pivotButton="0" quotePrefix="0" xfId="0"/>
    <xf numFmtId="0" fontId="5" fillId="0" borderId="0" applyAlignment="1" pivotButton="0" quotePrefix="0" xfId="0">
      <alignment vertical="top" wrapText="1"/>
    </xf>
    <xf numFmtId="166" fontId="13" fillId="0" borderId="0" pivotButton="0" quotePrefix="0" xfId="0"/>
    <xf numFmtId="168" fontId="12" fillId="0" borderId="0" pivotButton="0" quotePrefix="0" xfId="0"/>
    <xf numFmtId="164" fontId="4" fillId="3" borderId="0" pivotButton="0" quotePrefix="0" xfId="0"/>
    <xf numFmtId="0" fontId="4" fillId="0" borderId="1" applyAlignment="1" pivotButton="0" quotePrefix="0" xfId="0">
      <alignment horizontal="center"/>
    </xf>
    <xf numFmtId="165"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ht="26" customHeight="1">
      <c r="A1" s="1" t="inlineStr">
        <is>
          <t>ORIZURU HOLIDAY HOMES LLC — OPERATING EXPENDITURE (OPEX)</t>
        </is>
      </c>
      <c r="B1" s="2" t="n"/>
      <c r="C1" s="2" t="n"/>
      <c r="D1" s="2" t="n"/>
      <c r="E1" s="2" t="n"/>
      <c r="F1" s="2" t="n"/>
    </row>
    <row r="2" ht="16" customHeight="1">
      <c r="A2" s="3" t="inlineStr">
        <is>
          <t>Dubai, UAE  |  Trade Licence 1634278  |  12-month monthly model  |  All figures in AED</t>
        </is>
      </c>
      <c r="B2" s="2" t="n"/>
      <c r="C2" s="2" t="n"/>
      <c r="D2" s="2" t="n"/>
      <c r="E2" s="2" t="n"/>
      <c r="F2" s="2" t="n"/>
    </row>
    <row r="4" ht="18" customHeight="1">
      <c r="A4" s="4" t="inlineStr">
        <is>
          <t>HOW TO USE THIS WORKBOOK</t>
        </is>
      </c>
      <c r="B4" s="5" t="n"/>
      <c r="C4" s="5" t="n"/>
      <c r="D4" s="5" t="n"/>
      <c r="E4" s="5" t="n"/>
      <c r="F4" s="5" t="n"/>
    </row>
    <row r="5">
      <c r="A5" s="6" t="inlineStr">
        <is>
          <t>Tab</t>
        </is>
      </c>
      <c r="B5" s="6" t="inlineStr">
        <is>
          <t>What it does</t>
        </is>
      </c>
      <c r="C5" s="7" t="n"/>
      <c r="D5" s="7" t="n"/>
      <c r="E5" s="7" t="n"/>
      <c r="F5" s="7" t="n"/>
    </row>
    <row r="6" ht="26" customHeight="1">
      <c r="A6" s="8" t="inlineStr">
        <is>
          <t>Assumptions</t>
        </is>
      </c>
      <c r="B6" s="9" t="inlineStr">
        <is>
          <t>Every input, at Low / Base / High. Set the SCENARIO cell (B4) and the whole model re-cuts. Set 'Option adopted from Month 3' (B6) to switch marketing options.</t>
        </is>
      </c>
    </row>
    <row r="7" ht="14" customHeight="1">
      <c r="A7" s="8" t="inlineStr">
        <is>
          <t>OPEX Summary</t>
        </is>
      </c>
      <c r="B7" s="9" t="inlineStr">
        <is>
          <t>One-page Year-1 view: category totals, key metrics, and the notes you should read first.</t>
        </is>
      </c>
    </row>
    <row r="8" ht="26" customHeight="1">
      <c r="A8" s="8" t="inlineStr">
        <is>
          <t>OPEX Monthly</t>
        </is>
      </c>
      <c r="B8" s="9" t="inlineStr">
        <is>
          <t>The model. 12 months across, every cost line down. Edit the yellow unit-ramp row to change the growth path.</t>
        </is>
      </c>
    </row>
    <row r="9" ht="14" customHeight="1">
      <c r="A9" s="8" t="inlineStr">
        <is>
          <t>Marketing Comparison</t>
        </is>
      </c>
      <c r="B9" s="9" t="inlineStr">
        <is>
          <t>Option 1 vs Option 2 head-to-head, plus what to measure before deciding in Month 3.</t>
        </is>
      </c>
    </row>
    <row r="10" ht="14" customHeight="1">
      <c r="A10" s="8" t="inlineStr">
        <is>
          <t>AI Subscriptions</t>
        </is>
      </c>
      <c r="B10" s="9" t="inlineStr">
        <is>
          <t>HJ item 5 broken out tool by tool. Feeds the AI line in the model.</t>
        </is>
      </c>
    </row>
    <row r="12" ht="18" customHeight="1">
      <c r="A12" s="4" t="inlineStr">
        <is>
          <t>THE FOUR LEVERS THAT MOVE EVERYTHING</t>
        </is>
      </c>
      <c r="B12" s="5" t="n"/>
      <c r="C12" s="5" t="n"/>
      <c r="D12" s="5" t="n"/>
      <c r="E12" s="5" t="n"/>
      <c r="F12" s="5" t="n"/>
    </row>
    <row r="13" ht="14" customHeight="1">
      <c r="A13" s="8" t="inlineStr">
        <is>
          <t>1.</t>
        </is>
      </c>
      <c r="B13" s="9" t="inlineStr">
        <is>
          <t>Assumptions!B4 — SCENARIO (Low / Base / High).</t>
        </is>
      </c>
    </row>
    <row r="14" ht="26" customHeight="1">
      <c r="A14" s="8" t="inlineStr">
        <is>
          <t>2.</t>
        </is>
      </c>
      <c r="B14" s="9" t="inlineStr">
        <is>
          <t>Assumptions!B6 — which marketing option is adopted from Month 3 (or 'Both' to keep running in parallel).</t>
        </is>
      </c>
    </row>
    <row r="15" ht="39" customHeight="1">
      <c r="A15" s="8" t="inlineStr">
        <is>
          <t>3.</t>
        </is>
      </c>
      <c r="B15" s="9" t="inlineStr">
        <is>
          <t>OPEX Monthly, yellow row — new units signed each month. Currently ramps to 80 units by Month 12, matching the Business Profile's 70–80 target. Set every month to 0 except M1=1 for a single-unit view.</t>
        </is>
      </c>
    </row>
    <row r="16" ht="26" customHeight="1">
      <c r="A16" s="8" t="inlineStr">
        <is>
          <t>4.</t>
        </is>
      </c>
      <c r="B16" s="9" t="inlineStr">
        <is>
          <t>Assumptions!F column — the active value of any individual line. Override any single input directly in its Low/Base/High cells.</t>
        </is>
      </c>
    </row>
    <row r="18" ht="18" customHeight="1">
      <c r="A18" s="4" t="inlineStr">
        <is>
          <t>MODEL BASIS — CONFIRMED WITH HJ</t>
        </is>
      </c>
      <c r="B18" s="5" t="n"/>
      <c r="C18" s="5" t="n"/>
      <c r="D18" s="5" t="n"/>
      <c r="E18" s="5" t="n"/>
      <c r="F18" s="5" t="n"/>
    </row>
    <row r="19" ht="39" customHeight="1">
      <c r="A19" s="8" t="inlineStr">
        <is>
          <t>•</t>
        </is>
      </c>
      <c r="B19" s="9" t="inlineStr">
        <is>
          <t>PURE MANAGEMENT / COMMISSION-ONLY. Orizuru does not master-lease. There is NO unit rent, no unit DEWA and no unit internet anywhere in this OPEX — those costs sit with the property owner.</t>
        </is>
      </c>
    </row>
    <row r="20" ht="14" customHeight="1">
      <c r="A20" s="8" t="inlineStr">
        <is>
          <t>•</t>
        </is>
      </c>
      <c r="B20" s="9" t="inlineStr">
        <is>
          <t>Directors draw NO salary.</t>
        </is>
      </c>
    </row>
    <row r="21" ht="14" customHeight="1">
      <c r="A21" s="8" t="inlineStr">
        <is>
          <t>•</t>
        </is>
      </c>
      <c r="B21" s="9" t="inlineStr">
        <is>
          <t>Operations &amp; service staff: 1 person at AED 3,000/month.</t>
        </is>
      </c>
    </row>
    <row r="22" ht="14" customHeight="1">
      <c r="A22" s="8" t="inlineStr">
        <is>
          <t>•</t>
        </is>
      </c>
      <c r="B22" s="9" t="inlineStr">
        <is>
          <t>Both marketing options run in parallel for Months 1–2, then one is adopted.</t>
        </is>
      </c>
    </row>
    <row r="23" ht="26" customHeight="1">
      <c r="A23" s="8" t="inlineStr">
        <is>
          <t>•</t>
        </is>
      </c>
      <c r="B23" s="9" t="inlineStr">
        <is>
          <t>The 2% per signed unit is an ONGOING trailing commission on that unit's monthly revenue, applied every month for as long as the unit is live.</t>
        </is>
      </c>
    </row>
    <row r="24" ht="14" customHeight="1">
      <c r="A24" s="8" t="inlineStr">
        <is>
          <t>•</t>
        </is>
      </c>
      <c r="B24" s="9" t="inlineStr">
        <is>
          <t>AI subscriptions are broken out on their own tab.</t>
        </is>
      </c>
    </row>
    <row r="25" ht="26" customHeight="1">
      <c r="A25" s="8" t="inlineStr">
        <is>
          <t>•</t>
        </is>
      </c>
      <c r="B25" s="9" t="inlineStr">
        <is>
          <t>Domain (AED 387, 3 years) and company stamp (AED 137) are ONE-OFF costs and sit in the CAPEX workbook, not here.</t>
        </is>
      </c>
    </row>
    <row r="27" ht="18" customHeight="1">
      <c r="A27" s="4" t="inlineStr">
        <is>
          <t>COLOUR LEGEND</t>
        </is>
      </c>
      <c r="B27" s="5" t="n"/>
      <c r="C27" s="5" t="n"/>
      <c r="D27" s="5" t="n"/>
      <c r="E27" s="5" t="n"/>
      <c r="F27" s="5" t="n"/>
    </row>
    <row r="28" ht="14" customHeight="1">
      <c r="A28" s="10" t="inlineStr">
        <is>
          <t>Blue text</t>
        </is>
      </c>
      <c r="B28" s="9" t="inlineStr">
        <is>
          <t>Hardcoded input — edit freely.</t>
        </is>
      </c>
    </row>
    <row r="29" ht="14" customHeight="1">
      <c r="A29" s="11" t="inlineStr">
        <is>
          <t>Yellow fill</t>
        </is>
      </c>
      <c r="B29" s="9" t="inlineStr">
        <is>
          <t>Key lever, or a figure supplied by HJ.</t>
        </is>
      </c>
    </row>
    <row r="30" ht="14" customHeight="1">
      <c r="A30" s="8" t="inlineStr">
        <is>
          <t>Black text</t>
        </is>
      </c>
      <c r="B30" s="9" t="inlineStr">
        <is>
          <t>Formula. Do not overwrite.</t>
        </is>
      </c>
    </row>
    <row r="31" ht="14" customHeight="1">
      <c r="A31" s="12" t="inlineStr">
        <is>
          <t>Green text</t>
        </is>
      </c>
      <c r="B31" s="9" t="inlineStr">
        <is>
          <t>Link to another sheet in this workbook.</t>
        </is>
      </c>
    </row>
    <row r="33" ht="18" customHeight="1">
      <c r="A33" s="4" t="inlineStr">
        <is>
          <t>WHAT IS DELIBERATELY NOT IN HERE</t>
        </is>
      </c>
      <c r="B33" s="5" t="n"/>
      <c r="C33" s="5" t="n"/>
      <c r="D33" s="5" t="n"/>
      <c r="E33" s="5" t="n"/>
      <c r="F33" s="5" t="n"/>
    </row>
    <row r="34" ht="39" customHeight="1">
      <c r="A34" s="8" t="inlineStr">
        <is>
          <t>•</t>
        </is>
      </c>
      <c r="B34" s="9" t="inlineStr">
        <is>
          <t>OTA commission (Airbnb / Booking.com, 15–18%). Under a commission-only model this is deducted from gross booking revenue before the owner's split — it is not an Orizuru operating cost. Add it only if your management contracts make Orizuru bear it.</t>
        </is>
      </c>
    </row>
    <row r="35" ht="14" customHeight="1">
      <c r="A35" s="8" t="inlineStr">
        <is>
          <t>•</t>
        </is>
      </c>
      <c r="B35" s="9" t="inlineStr">
        <is>
          <t>Tourism Dirham. Collected from the guest and remitted to DET. Pure pass-through.</t>
        </is>
      </c>
    </row>
    <row r="36" ht="26" customHeight="1">
      <c r="A36" s="8" t="inlineStr">
        <is>
          <t>•</t>
        </is>
      </c>
      <c r="B36" s="9" t="inlineStr">
        <is>
          <t>Corporate Tax itself (9% above AED 375,000 taxable profit). It is a tax on profit, not OPEX. The compliance/filing cost IS included.</t>
        </is>
      </c>
    </row>
    <row r="37" ht="14" customHeight="1">
      <c r="A37" s="8" t="inlineStr">
        <is>
          <t>•</t>
        </is>
      </c>
      <c r="B37" s="9" t="inlineStr">
        <is>
          <t>Depreciation on the CAPEX. Non-cash — belongs in the P&amp;L, not in an OPEX cash budget.</t>
        </is>
      </c>
    </row>
    <row r="38" ht="26" customHeight="1">
      <c r="A38" s="8" t="inlineStr">
        <is>
          <t>•</t>
        </is>
      </c>
      <c r="B38" s="9" t="inlineStr">
        <is>
          <t>Unit furnishing and setup. Owner-funded under this model; the operating layer Orizuru does fund is in the CAPEX workbook.</t>
        </is>
      </c>
    </row>
  </sheetData>
  <mergeCells count="32">
    <mergeCell ref="B7:F7"/>
    <mergeCell ref="B16:F16"/>
    <mergeCell ref="B25:F25"/>
    <mergeCell ref="A27:F27"/>
    <mergeCell ref="B31:F31"/>
    <mergeCell ref="A12:F12"/>
    <mergeCell ref="A18:F18"/>
    <mergeCell ref="B22:F22"/>
    <mergeCell ref="B21:F21"/>
    <mergeCell ref="A2:F2"/>
    <mergeCell ref="A33:F33"/>
    <mergeCell ref="B23:F23"/>
    <mergeCell ref="A4:F4"/>
    <mergeCell ref="B14:F14"/>
    <mergeCell ref="B8:F8"/>
    <mergeCell ref="B13:F13"/>
    <mergeCell ref="B29:F29"/>
    <mergeCell ref="B38:F38"/>
    <mergeCell ref="B34:F34"/>
    <mergeCell ref="B10:F10"/>
    <mergeCell ref="B28:F28"/>
    <mergeCell ref="B19:F19"/>
    <mergeCell ref="B37:F37"/>
    <mergeCell ref="B9:F9"/>
    <mergeCell ref="B30:F30"/>
    <mergeCell ref="B6:F6"/>
    <mergeCell ref="B24:F24"/>
    <mergeCell ref="B20:F20"/>
    <mergeCell ref="B15:F15"/>
    <mergeCell ref="A1:F1"/>
    <mergeCell ref="B36:F36"/>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
  <sheetViews>
    <sheetView showGridLines="0" workbookViewId="0">
      <pane ySplit="9" topLeftCell="A10" activePane="bottomLeft" state="frozen"/>
      <selection pane="bottomLeft" activeCell="A1" sqref="A1"/>
    </sheetView>
  </sheetViews>
  <sheetFormatPr baseColWidth="8" defaultRowHeight="15"/>
  <cols>
    <col width="52" customWidth="1" min="1" max="1"/>
    <col width="18" customWidth="1" min="2" max="2"/>
    <col width="12" customWidth="1" min="3" max="3"/>
    <col width="12" customWidth="1" min="4" max="4"/>
    <col width="12" customWidth="1" min="5" max="5"/>
    <col width="14" customWidth="1" min="6" max="6"/>
    <col width="78" customWidth="1" min="7" max="7"/>
  </cols>
  <sheetData>
    <row r="1" ht="26" customHeight="1">
      <c r="A1" s="1" t="inlineStr">
        <is>
          <t>OPEX ASSUMPTIONS — ORIZURU HOLIDAY HOMES LLC</t>
        </is>
      </c>
      <c r="B1" s="2" t="n"/>
      <c r="C1" s="2" t="n"/>
      <c r="D1" s="2" t="n"/>
      <c r="E1" s="2" t="n"/>
      <c r="F1" s="2" t="n"/>
      <c r="G1" s="2" t="n"/>
    </row>
    <row r="2" ht="16" customHeight="1">
      <c r="A2" s="3" t="inlineStr">
        <is>
          <t>All figures AED unless stated. Blue = editable input. Yellow = figure supplied by HJ or a key lever.</t>
        </is>
      </c>
      <c r="B2" s="2" t="n"/>
      <c r="C2" s="2" t="n"/>
      <c r="D2" s="2" t="n"/>
      <c r="E2" s="2" t="n"/>
      <c r="F2" s="2" t="n"/>
      <c r="G2" s="2" t="n"/>
    </row>
    <row r="4">
      <c r="A4" s="13" t="inlineStr">
        <is>
          <t>SCENARIO</t>
        </is>
      </c>
      <c r="B4" s="14" t="inlineStr">
        <is>
          <t>Base</t>
        </is>
      </c>
      <c r="C4" s="15" t="inlineStr">
        <is>
          <t>Change this cell to Low / Base / High. Every 'Active' figure below and the whole monthly model follow it.</t>
        </is>
      </c>
      <c r="J4" s="16" t="inlineStr">
        <is>
          <t>Low</t>
        </is>
      </c>
    </row>
    <row r="5">
      <c r="A5" s="15" t="inlineStr">
        <is>
          <t>Scenario index</t>
        </is>
      </c>
      <c r="B5" s="17">
        <f>MATCH($B$4,$J$4:$J$6,0)</f>
        <v/>
      </c>
      <c r="J5" s="16" t="inlineStr">
        <is>
          <t>Base</t>
        </is>
      </c>
    </row>
    <row r="6">
      <c r="A6" s="13" t="inlineStr">
        <is>
          <t>Option adopted from Month 3</t>
        </is>
      </c>
      <c r="B6" s="14" t="inlineStr">
        <is>
          <t>Option 2</t>
        </is>
      </c>
      <c r="C6" s="15" t="inlineStr">
        <is>
          <t>Both options run in Months 1–2 per HJ. From Month 3 the model keeps whichever you select here. Select 'Both' to keep running them in parallel all year.</t>
        </is>
      </c>
      <c r="J6" s="16" t="inlineStr">
        <is>
          <t>High</t>
        </is>
      </c>
    </row>
    <row r="7">
      <c r="A7" s="18" t="inlineStr">
        <is>
          <t>Parallel-run months</t>
        </is>
      </c>
      <c r="B7" s="19" t="n">
        <v>2</v>
      </c>
      <c r="C7" s="15" t="inlineStr">
        <is>
          <t>Per HJ: run both marketing options together for the first 2 months to see which works.</t>
        </is>
      </c>
    </row>
    <row r="9" ht="24" customHeight="1">
      <c r="A9" s="20" t="inlineStr">
        <is>
          <t>Assumption</t>
        </is>
      </c>
      <c r="B9" s="20" t="inlineStr">
        <is>
          <t>Unit</t>
        </is>
      </c>
      <c r="C9" s="20" t="inlineStr">
        <is>
          <t>Low</t>
        </is>
      </c>
      <c r="D9" s="20" t="inlineStr">
        <is>
          <t>Base</t>
        </is>
      </c>
      <c r="E9" s="20" t="inlineStr">
        <is>
          <t>High</t>
        </is>
      </c>
      <c r="F9" s="20" t="inlineStr">
        <is>
          <t>Active</t>
        </is>
      </c>
      <c r="G9" s="20" t="inlineStr">
        <is>
          <t>Source / note</t>
        </is>
      </c>
    </row>
    <row r="10" ht="18" customHeight="1">
      <c r="A10" s="4" t="inlineStr">
        <is>
          <t>1.  REVENUE DRIVERS  —  needed to size the 2% commission, gateway fees and cost-to-revenue ratios</t>
        </is>
      </c>
      <c r="B10" s="5" t="n"/>
      <c r="C10" s="5" t="n"/>
      <c r="D10" s="5" t="n"/>
      <c r="E10" s="5" t="n"/>
      <c r="F10" s="5" t="n"/>
      <c r="G10" s="5" t="n"/>
    </row>
    <row r="11" ht="22" customHeight="1">
      <c r="A11" s="21" t="inlineStr">
        <is>
          <t>Average Daily Rate (ADR) per unit</t>
        </is>
      </c>
      <c r="B11" s="22" t="inlineStr">
        <is>
          <t>AED/night</t>
        </is>
      </c>
      <c r="C11" s="23" t="n">
        <v>380</v>
      </c>
      <c r="D11" s="23" t="n">
        <v>450</v>
      </c>
      <c r="E11" s="23" t="n">
        <v>550</v>
      </c>
      <c r="F11" s="24">
        <f>INDEX(C11:E11,1,Assumptions!$B$5)</f>
        <v/>
      </c>
      <c r="G11" s="25" t="inlineStr">
        <is>
          <t>Premium 1BR short-term rental, Dubai. Drives the revenue base for the 2% marketing commission.</t>
        </is>
      </c>
    </row>
    <row r="12" ht="22" customHeight="1">
      <c r="A12" s="21" t="inlineStr">
        <is>
          <t>Occupancy rate</t>
        </is>
      </c>
      <c r="B12" s="22" t="inlineStr">
        <is>
          <t>%</t>
        </is>
      </c>
      <c r="C12" s="26" t="n">
        <v>0.65</v>
      </c>
      <c r="D12" s="26" t="n">
        <v>0.75</v>
      </c>
      <c r="E12" s="26" t="n">
        <v>0.82</v>
      </c>
      <c r="F12" s="27">
        <f>INDEX(C12:E12,1,Assumptions!$B$5)</f>
        <v/>
      </c>
      <c r="G12" s="25" t="inlineStr">
        <is>
          <t>Dubai holiday-home market runs high; 75% is a realistic stabilised assumption.</t>
        </is>
      </c>
    </row>
    <row r="13" ht="22" customHeight="1">
      <c r="A13" s="21" t="inlineStr">
        <is>
          <t>Nights per month</t>
        </is>
      </c>
      <c r="B13" s="22" t="inlineStr">
        <is>
          <t>nights</t>
        </is>
      </c>
      <c r="C13" s="28" t="n">
        <v>30.4</v>
      </c>
      <c r="D13" s="28" t="n">
        <v>30.4</v>
      </c>
      <c r="E13" s="28" t="n">
        <v>30.4</v>
      </c>
      <c r="F13" s="29">
        <f>INDEX(C13:E13,1,Assumptions!$B$5)</f>
        <v/>
      </c>
      <c r="G13" s="25" t="inlineStr">
        <is>
          <t>365 / 12.</t>
        </is>
      </c>
    </row>
    <row r="14" ht="22" customHeight="1">
      <c r="A14" s="21" t="inlineStr">
        <is>
          <t>Gross booking revenue per unit per month</t>
        </is>
      </c>
      <c r="B14" s="22" t="inlineStr">
        <is>
          <t>AED</t>
        </is>
      </c>
      <c r="C14" s="30">
        <f>C11*C12*C13</f>
        <v/>
      </c>
      <c r="D14" s="30">
        <f>D11*D12*D13</f>
        <v/>
      </c>
      <c r="E14" s="30">
        <f>E11*E12*E13</f>
        <v/>
      </c>
      <c r="F14" s="24">
        <f>INDEX(C14:E14,1,Assumptions!$B$5)</f>
        <v/>
      </c>
      <c r="G14" s="25" t="inlineStr">
        <is>
          <t>Calculated. This is the GUEST's spend on that unit — not Orizuru's revenue.</t>
        </is>
      </c>
    </row>
    <row r="15" ht="22" customHeight="1">
      <c r="A15" s="21" t="inlineStr">
        <is>
          <t>Management fee retained by Orizuru</t>
        </is>
      </c>
      <c r="B15" s="22" t="inlineStr">
        <is>
          <t>% of gross</t>
        </is>
      </c>
      <c r="C15" s="26" t="n">
        <v>0.15</v>
      </c>
      <c r="D15" s="26" t="n">
        <v>0.2</v>
      </c>
      <c r="E15" s="26" t="n">
        <v>0.25</v>
      </c>
      <c r="F15" s="27">
        <f>INDEX(C15:E15,1,Assumptions!$B$5)</f>
        <v/>
      </c>
      <c r="G15" s="25" t="inlineStr">
        <is>
          <t>Dubai holiday-home management contracts run 15–25%. This IS Orizuru's revenue under the commission-only model.</t>
        </is>
      </c>
    </row>
    <row r="16" ht="22" customHeight="1">
      <c r="A16" s="21" t="inlineStr">
        <is>
          <t>Orizuru revenue per unit per month</t>
        </is>
      </c>
      <c r="B16" s="22" t="inlineStr">
        <is>
          <t>AED</t>
        </is>
      </c>
      <c r="C16" s="30">
        <f>C14*C15</f>
        <v/>
      </c>
      <c r="D16" s="30">
        <f>D14*D15</f>
        <v/>
      </c>
      <c r="E16" s="30">
        <f>E14*E15</f>
        <v/>
      </c>
      <c r="F16" s="24">
        <f>INDEX(C16:E16,1,Assumptions!$B$5)</f>
        <v/>
      </c>
      <c r="G16" s="25" t="inlineStr">
        <is>
          <t>Calculated. Compare against the Business Profile's AED 2.5–4.5M turnover target — see the reconciliation note on the README tab.</t>
        </is>
      </c>
    </row>
    <row r="17" ht="18" customHeight="1">
      <c r="A17" s="4" t="inlineStr">
        <is>
          <t>2.  STAFF  —  Dubai payroll</t>
        </is>
      </c>
      <c r="B17" s="5" t="n"/>
      <c r="C17" s="5" t="n"/>
      <c r="D17" s="5" t="n"/>
      <c r="E17" s="5" t="n"/>
      <c r="F17" s="5" t="n"/>
      <c r="G17" s="5" t="n"/>
    </row>
    <row r="18" ht="33" customHeight="1">
      <c r="A18" s="21" t="inlineStr">
        <is>
          <t>Directors' salary</t>
        </is>
      </c>
      <c r="B18" s="22" t="inlineStr">
        <is>
          <t>AED/month</t>
        </is>
      </c>
      <c r="C18" s="31" t="n">
        <v>0</v>
      </c>
      <c r="D18" s="31" t="n">
        <v>0</v>
      </c>
      <c r="E18" s="31" t="n">
        <v>0</v>
      </c>
      <c r="F18" s="24">
        <f>INDEX(C18:E18,1,Assumptions!$B$5)</f>
        <v/>
      </c>
      <c r="G18" s="25" t="inlineStr">
        <is>
          <t>Per HJ: directors will NOT draw a salary. Note for the bank — this understates the true cost of running the business, since two directors are working unpaid.</t>
        </is>
      </c>
    </row>
    <row r="19" ht="22" customHeight="1">
      <c r="A19" s="21" t="inlineStr">
        <is>
          <t>Operations &amp; service staff — headcount</t>
        </is>
      </c>
      <c r="B19" s="22" t="inlineStr">
        <is>
          <t>persons</t>
        </is>
      </c>
      <c r="C19" s="32" t="n">
        <v>1</v>
      </c>
      <c r="D19" s="32" t="n">
        <v>1</v>
      </c>
      <c r="E19" s="32" t="n">
        <v>1</v>
      </c>
      <c r="F19" s="33">
        <f>INDEX(C19:E19,1,Assumptions!$B$5)</f>
        <v/>
      </c>
      <c r="G19" s="25" t="inlineStr">
        <is>
          <t>Per HJ: 1 person.</t>
        </is>
      </c>
    </row>
    <row r="20" ht="22" customHeight="1">
      <c r="A20" s="21" t="inlineStr">
        <is>
          <t>Operations &amp; service staff — salary</t>
        </is>
      </c>
      <c r="B20" s="22" t="inlineStr">
        <is>
          <t>AED/month</t>
        </is>
      </c>
      <c r="C20" s="31" t="n">
        <v>3000</v>
      </c>
      <c r="D20" s="31" t="n">
        <v>3000</v>
      </c>
      <c r="E20" s="31" t="n">
        <v>3000</v>
      </c>
      <c r="F20" s="24">
        <f>INDEX(C20:E20,1,Assumptions!$B$5)</f>
        <v/>
      </c>
      <c r="G20" s="25" t="inlineStr">
        <is>
          <t>Per HJ: AED 3,000/month.</t>
        </is>
      </c>
    </row>
    <row r="21" ht="22" customHeight="1">
      <c r="A21" s="21" t="inlineStr">
        <is>
          <t>Staff visa, medical insurance &amp; EID — monthly accrual per UAE employee</t>
        </is>
      </c>
      <c r="B21" s="22" t="inlineStr">
        <is>
          <t>AED/month</t>
        </is>
      </c>
      <c r="C21" s="23" t="n">
        <v>250</v>
      </c>
      <c r="D21" s="23" t="n">
        <v>380</v>
      </c>
      <c r="E21" s="23" t="n">
        <v>550</v>
      </c>
      <c r="F21" s="24">
        <f>INDEX(C21:E21,1,Assumptions!$B$5)</f>
        <v/>
      </c>
      <c r="G21" s="25" t="inlineStr">
        <is>
          <t>2-year residence visa and mandatory Dubai health insurance spread monthly. Real cash cost even though it is billed in lumps.</t>
        </is>
      </c>
    </row>
    <row r="22" ht="22" customHeight="1">
      <c r="A22" s="21" t="inlineStr">
        <is>
          <t>End-of-service gratuity accrual</t>
        </is>
      </c>
      <c r="B22" s="22" t="inlineStr">
        <is>
          <t>% of salary</t>
        </is>
      </c>
      <c r="C22" s="34" t="n">
        <v>0.058</v>
      </c>
      <c r="D22" s="34" t="n">
        <v>0.058</v>
      </c>
      <c r="E22" s="34" t="n">
        <v>0.058</v>
      </c>
      <c r="F22" s="35">
        <f>INDEX(C22:E22,1,Assumptions!$B$5)</f>
        <v/>
      </c>
      <c r="G22" s="25" t="inlineStr">
        <is>
          <t>UAE Labour Law: 21 days' basic pay per year of service for the first 5 years = 5.8% of salary. Legally payable — accrue it or it becomes a nasty surprise.</t>
        </is>
      </c>
    </row>
    <row r="23" ht="22" customHeight="1">
      <c r="A23" s="21" t="inlineStr">
        <is>
          <t>WPS / payroll processing fee</t>
        </is>
      </c>
      <c r="B23" s="22" t="inlineStr">
        <is>
          <t>AED/employee/mo</t>
        </is>
      </c>
      <c r="C23" s="23" t="n">
        <v>8</v>
      </c>
      <c r="D23" s="23" t="n">
        <v>15</v>
      </c>
      <c r="E23" s="23" t="n">
        <v>25</v>
      </c>
      <c r="F23" s="24">
        <f>INDEX(C23:E23,1,Assumptions!$B$5)</f>
        <v/>
      </c>
      <c r="G23" s="25" t="inlineStr">
        <is>
          <t>Wage Protection System is mandatory for MOHRE-sponsored staff.</t>
        </is>
      </c>
    </row>
    <row r="24" ht="18" customHeight="1">
      <c r="A24" s="4" t="inlineStr">
        <is>
          <t>3.  MARKETING OPTION 1  —  FULLY ONLINE  (4 hrs/day)</t>
        </is>
      </c>
      <c r="B24" s="5" t="n"/>
      <c r="C24" s="5" t="n"/>
      <c r="D24" s="5" t="n"/>
      <c r="E24" s="5" t="n"/>
      <c r="F24" s="5" t="n"/>
      <c r="G24" s="5" t="n"/>
    </row>
    <row r="25" ht="22" customHeight="1">
      <c r="A25" s="21" t="inlineStr">
        <is>
          <t>Team size</t>
        </is>
      </c>
      <c r="B25" s="22" t="inlineStr">
        <is>
          <t>persons</t>
        </is>
      </c>
      <c r="C25" s="32" t="n">
        <v>2</v>
      </c>
      <c r="D25" s="32" t="n">
        <v>3</v>
      </c>
      <c r="E25" s="32" t="n">
        <v>4</v>
      </c>
      <c r="F25" s="33">
        <f>INDEX(C25:E25,1,Assumptions!$B$5)</f>
        <v/>
      </c>
      <c r="G25" s="25" t="inlineStr">
        <is>
          <t>Per HJ: 2–4 persons.</t>
        </is>
      </c>
    </row>
    <row r="26" ht="22" customHeight="1">
      <c r="A26" s="21" t="inlineStr">
        <is>
          <t>Cost per person</t>
        </is>
      </c>
      <c r="B26" s="22" t="inlineStr">
        <is>
          <t>AED/month</t>
        </is>
      </c>
      <c r="C26" s="31" t="n">
        <v>500</v>
      </c>
      <c r="D26" s="31" t="n">
        <v>600</v>
      </c>
      <c r="E26" s="31" t="n">
        <v>700</v>
      </c>
      <c r="F26" s="24">
        <f>INDEX(C26:E26,1,Assumptions!$B$5)</f>
        <v/>
      </c>
      <c r="G26" s="25" t="inlineStr">
        <is>
          <t>Per HJ: AED 500–700 per person.</t>
        </is>
      </c>
    </row>
    <row r="27" ht="22" customHeight="1">
      <c r="A27" s="21" t="inlineStr">
        <is>
          <t>Digital ads &amp; owner lead generation</t>
        </is>
      </c>
      <c r="B27" s="22" t="inlineStr">
        <is>
          <t>AED/month</t>
        </is>
      </c>
      <c r="C27" s="23" t="n">
        <v>800</v>
      </c>
      <c r="D27" s="23" t="n">
        <v>1500</v>
      </c>
      <c r="E27" s="23" t="n">
        <v>2800</v>
      </c>
      <c r="F27" s="24">
        <f>INDEX(C27:E27,1,Assumptions!$B$5)</f>
        <v/>
      </c>
      <c r="G27" s="25" t="inlineStr">
        <is>
          <t>A fully-online team without a paid lead flow will stall. This is the cost of feeding them owner leads.</t>
        </is>
      </c>
    </row>
    <row r="28" ht="22" customHeight="1">
      <c r="A28" s="21" t="inlineStr">
        <is>
          <t>Outreach tooling, CRM &amp; lead database</t>
        </is>
      </c>
      <c r="B28" s="22" t="inlineStr">
        <is>
          <t>AED/month</t>
        </is>
      </c>
      <c r="C28" s="23" t="n">
        <v>150</v>
      </c>
      <c r="D28" s="23" t="n">
        <v>280</v>
      </c>
      <c r="E28" s="23" t="n">
        <v>450</v>
      </c>
      <c r="F28" s="24">
        <f>INDEX(C28:E28,1,Assumptions!$B$5)</f>
        <v/>
      </c>
      <c r="G28" s="25" t="inlineStr">
        <is>
          <t>LinkedIn Sales Navigator / Property Finder lead access / CRM seats.</t>
        </is>
      </c>
    </row>
    <row r="29" ht="22" customHeight="1">
      <c r="A29" s="21" t="inlineStr">
        <is>
          <t>Team coordination &amp; QA time</t>
        </is>
      </c>
      <c r="B29" s="22" t="inlineStr">
        <is>
          <t>AED/month</t>
        </is>
      </c>
      <c r="C29" s="23" t="n">
        <v>0</v>
      </c>
      <c r="D29" s="23" t="n">
        <v>300</v>
      </c>
      <c r="E29" s="23" t="n">
        <v>600</v>
      </c>
      <c r="F29" s="24">
        <f>INDEX(C29:E29,1,Assumptions!$B$5)</f>
        <v/>
      </c>
      <c r="G29" s="25" t="inlineStr">
        <is>
          <t>Someone has to check the work. At 2–4 remote people this is light but not zero.</t>
        </is>
      </c>
    </row>
    <row r="30" ht="18" customHeight="1">
      <c r="A30" s="4" t="inlineStr">
        <is>
          <t>4.  MARKETING OPTION 2  —  REMOTE OFFICE OUTSIDE UAE  (4 hrs/day)</t>
        </is>
      </c>
      <c r="B30" s="5" t="n"/>
      <c r="C30" s="5" t="n"/>
      <c r="D30" s="5" t="n"/>
      <c r="E30" s="5" t="n"/>
      <c r="F30" s="5" t="n"/>
      <c r="G30" s="5" t="n"/>
    </row>
    <row r="31" ht="22" customHeight="1">
      <c r="A31" s="21" t="inlineStr">
        <is>
          <t>Team size</t>
        </is>
      </c>
      <c r="B31" s="22" t="inlineStr">
        <is>
          <t>persons</t>
        </is>
      </c>
      <c r="C31" s="32" t="n">
        <v>4</v>
      </c>
      <c r="D31" s="32" t="n">
        <v>5</v>
      </c>
      <c r="E31" s="32" t="n">
        <v>6</v>
      </c>
      <c r="F31" s="33">
        <f>INDEX(C31:E31,1,Assumptions!$B$5)</f>
        <v/>
      </c>
      <c r="G31" s="25" t="inlineStr">
        <is>
          <t>Per HJ: 4–6 persons.</t>
        </is>
      </c>
    </row>
    <row r="32" ht="22" customHeight="1">
      <c r="A32" s="21" t="inlineStr">
        <is>
          <t>Cost per person</t>
        </is>
      </c>
      <c r="B32" s="22" t="inlineStr">
        <is>
          <t>AED/month</t>
        </is>
      </c>
      <c r="C32" s="31" t="n">
        <v>180</v>
      </c>
      <c r="D32" s="31" t="n">
        <v>240</v>
      </c>
      <c r="E32" s="31" t="n">
        <v>300</v>
      </c>
      <c r="F32" s="24">
        <f>INDEX(C32:E32,1,Assumptions!$B$5)</f>
        <v/>
      </c>
      <c r="G32" s="25" t="inlineStr">
        <is>
          <t>Per HJ: AED 180–300 per person.</t>
        </is>
      </c>
    </row>
    <row r="33" ht="22" customHeight="1">
      <c r="A33" s="21" t="inlineStr">
        <is>
          <t>Coworking area rent</t>
        </is>
      </c>
      <c r="B33" s="22" t="inlineStr">
        <is>
          <t>AED/month</t>
        </is>
      </c>
      <c r="C33" s="31" t="n">
        <v>1350</v>
      </c>
      <c r="D33" s="31" t="n">
        <v>1425</v>
      </c>
      <c r="E33" s="31" t="n">
        <v>1500</v>
      </c>
      <c r="F33" s="24">
        <f>INDEX(C33:E33,1,Assumptions!$B$5)</f>
        <v/>
      </c>
      <c r="G33" s="25" t="inlineStr">
        <is>
          <t>Per HJ: AED 1,350–1,500.</t>
        </is>
      </c>
    </row>
    <row r="34" ht="22" customHeight="1">
      <c r="A34" s="21" t="inlineStr">
        <is>
          <t>Local internet, utilities &amp; equipment</t>
        </is>
      </c>
      <c r="B34" s="22" t="inlineStr">
        <is>
          <t>AED/month</t>
        </is>
      </c>
      <c r="C34" s="23" t="n">
        <v>200</v>
      </c>
      <c r="D34" s="23" t="n">
        <v>350</v>
      </c>
      <c r="E34" s="23" t="n">
        <v>550</v>
      </c>
      <c r="F34" s="24">
        <f>INDEX(C34:E34,1,Assumptions!$B$5)</f>
        <v/>
      </c>
      <c r="G34" s="25" t="inlineStr">
        <is>
          <t>Not in HJ's original list but unavoidable — a physical room needs connectivity and machines.</t>
        </is>
      </c>
    </row>
    <row r="35" ht="22" customHeight="1">
      <c r="A35" s="21" t="inlineStr">
        <is>
          <t>On-site supervisor / team lead</t>
        </is>
      </c>
      <c r="B35" s="22" t="inlineStr">
        <is>
          <t>AED/month</t>
        </is>
      </c>
      <c r="C35" s="23" t="n">
        <v>0</v>
      </c>
      <c r="D35" s="23" t="n">
        <v>500</v>
      </c>
      <c r="E35" s="23" t="n">
        <v>900</v>
      </c>
      <c r="F35" s="24">
        <f>INDEX(C35:E35,1,Assumptions!$B$5)</f>
        <v/>
      </c>
      <c r="G35" s="25" t="inlineStr">
        <is>
          <t>Not in HJ's original list. 4–6 people in a physical room with no supervisor will drift. Recommend keeping this.</t>
        </is>
      </c>
    </row>
    <row r="36" ht="22" customHeight="1">
      <c r="A36" s="21" t="inlineStr">
        <is>
          <t>Digital ads &amp; lead generation</t>
        </is>
      </c>
      <c r="B36" s="22" t="inlineStr">
        <is>
          <t>AED/month</t>
        </is>
      </c>
      <c r="C36" s="23" t="n">
        <v>400</v>
      </c>
      <c r="D36" s="23" t="n">
        <v>900</v>
      </c>
      <c r="E36" s="23" t="n">
        <v>1600</v>
      </c>
      <c r="F36" s="24">
        <f>INDEX(C36:E36,1,Assumptions!$B$5)</f>
        <v/>
      </c>
      <c r="G36" s="25" t="inlineStr">
        <is>
          <t>Lower than Option 1 — a larger team does more manual prospecting, so less paid volume is needed.</t>
        </is>
      </c>
    </row>
    <row r="37" ht="22" customHeight="1">
      <c r="A37" s="21" t="inlineStr">
        <is>
          <t>Local compliance / entity or contractor arrangement</t>
        </is>
      </c>
      <c r="B37" s="22" t="inlineStr">
        <is>
          <t>AED/month</t>
        </is>
      </c>
      <c r="C37" s="23" t="n">
        <v>0</v>
      </c>
      <c r="D37" s="23" t="n">
        <v>400</v>
      </c>
      <c r="E37" s="23" t="n">
        <v>900</v>
      </c>
      <c r="F37" s="24">
        <f>INDEX(C37:E37,1,Assumptions!$B$5)</f>
        <v/>
      </c>
      <c r="G37" s="25" t="inlineStr">
        <is>
          <t>Not in HJ's original list. Engaging staff outside the UAE needs a compliant contracting route. Flagging it rather than pretending it is free.</t>
        </is>
      </c>
    </row>
    <row r="38" ht="18" customHeight="1">
      <c r="A38" s="4" t="inlineStr">
        <is>
          <t>5.  UNIT-ACQUISITION COMMISSION  —  the 2% per HJ</t>
        </is>
      </c>
      <c r="B38" s="5" t="n"/>
      <c r="C38" s="5" t="n"/>
      <c r="D38" s="5" t="n"/>
      <c r="E38" s="5" t="n"/>
      <c r="F38" s="5" t="n"/>
      <c r="G38" s="5" t="n"/>
    </row>
    <row r="39" ht="22" customHeight="1">
      <c r="A39" s="21" t="inlineStr">
        <is>
          <t>Trailing commission on each signed unit</t>
        </is>
      </c>
      <c r="B39" s="22" t="inlineStr">
        <is>
          <t xml:space="preserve">% </t>
        </is>
      </c>
      <c r="C39" s="36" t="n">
        <v>0.02</v>
      </c>
      <c r="D39" s="36" t="n">
        <v>0.02</v>
      </c>
      <c r="E39" s="36" t="n">
        <v>0.02</v>
      </c>
      <c r="F39" s="35">
        <f>INDEX(C39:E39,1,Assumptions!$B$5)</f>
        <v/>
      </c>
      <c r="G39" s="25" t="inlineStr">
        <is>
          <t>Per HJ: 2% for each unit signed, ONGOING on that unit's monthly revenue.</t>
        </is>
      </c>
    </row>
    <row r="40" ht="33" customHeight="1">
      <c r="A40" s="21" t="inlineStr">
        <is>
          <t>Commission base</t>
        </is>
      </c>
      <c r="B40" s="22" t="inlineStr">
        <is>
          <t>—</t>
        </is>
      </c>
      <c r="C40" s="32" t="n">
        <v>1</v>
      </c>
      <c r="D40" s="32" t="n">
        <v>1</v>
      </c>
      <c r="E40" s="32" t="n">
        <v>1</v>
      </c>
      <c r="F40" s="33">
        <f>INDEX(C40:E40,1,Assumptions!$B$5)</f>
        <v/>
      </c>
      <c r="G40" s="25" t="inlineStr">
        <is>
          <t>1 = 2% of the unit's GROSS booking revenue (i.e. c.10% of Orizuru's management fee on that unit).  2 = 2% of Orizuru's management fee only (far cheaper, far weaker incentive). Change the number to switch base.</t>
        </is>
      </c>
    </row>
    <row r="41" ht="18" customHeight="1">
      <c r="A41" s="4" t="inlineStr">
        <is>
          <t>6.  TECHNOLOGY, PLATFORM &amp; AI</t>
        </is>
      </c>
      <c r="B41" s="5" t="n"/>
      <c r="C41" s="5" t="n"/>
      <c r="D41" s="5" t="n"/>
      <c r="E41" s="5" t="n"/>
      <c r="F41" s="5" t="n"/>
      <c r="G41" s="5" t="n"/>
    </row>
    <row r="42" ht="22" customHeight="1">
      <c r="A42" s="21" t="inlineStr">
        <is>
          <t>PMS / channel manager licence</t>
        </is>
      </c>
      <c r="B42" s="22" t="inlineStr">
        <is>
          <t>AED/unit/mo</t>
        </is>
      </c>
      <c r="C42" s="23" t="n">
        <v>55</v>
      </c>
      <c r="D42" s="23" t="n">
        <v>75</v>
      </c>
      <c r="E42" s="23" t="n">
        <v>95</v>
      </c>
      <c r="F42" s="24">
        <f>INDEX(C42:E42,1,Assumptions!$B$5)</f>
        <v/>
      </c>
      <c r="G42" s="25" t="inlineStr">
        <is>
          <t>Hostaway / Guesty style per-property pricing. Scales directly with the portfolio.</t>
        </is>
      </c>
    </row>
    <row r="43" ht="22" customHeight="1">
      <c r="A43" s="21" t="inlineStr">
        <is>
          <t>Dynamic pricing tool</t>
        </is>
      </c>
      <c r="B43" s="22" t="inlineStr">
        <is>
          <t>AED/unit/mo</t>
        </is>
      </c>
      <c r="C43" s="23" t="n">
        <v>20</v>
      </c>
      <c r="D43" s="23" t="n">
        <v>32</v>
      </c>
      <c r="E43" s="23" t="n">
        <v>45</v>
      </c>
      <c r="F43" s="24">
        <f>INDEX(C43:E43,1,Assumptions!$B$5)</f>
        <v/>
      </c>
      <c r="G43" s="25" t="inlineStr">
        <is>
          <t>PriceLabs / Wheelhouse. Typically pays for itself many times over in RevPAR.</t>
        </is>
      </c>
    </row>
    <row r="44" ht="22" customHeight="1">
      <c r="A44" s="21" t="inlineStr">
        <is>
          <t>Smart-lock / access platform</t>
        </is>
      </c>
      <c r="B44" s="22" t="inlineStr">
        <is>
          <t>AED/unit/mo</t>
        </is>
      </c>
      <c r="C44" s="23" t="n">
        <v>10</v>
      </c>
      <c r="D44" s="23" t="n">
        <v>18</v>
      </c>
      <c r="E44" s="23" t="n">
        <v>28</v>
      </c>
      <c r="F44" s="24">
        <f>INDEX(C44:E44,1,Assumptions!$B$5)</f>
        <v/>
      </c>
      <c r="G44" s="25" t="inlineStr">
        <is>
          <t>Recurring licence on the hardware installed at CAPEX.</t>
        </is>
      </c>
    </row>
    <row r="45" ht="22" customHeight="1">
      <c r="A45" s="21" t="inlineStr">
        <is>
          <t>AI subscriptions</t>
        </is>
      </c>
      <c r="B45" s="22" t="inlineStr">
        <is>
          <t>AED/month</t>
        </is>
      </c>
      <c r="C45" s="31" t="n">
        <v>800</v>
      </c>
      <c r="D45" s="37">
        <f>'AI Subscriptions'!E16</f>
        <v/>
      </c>
      <c r="E45" s="31" t="n">
        <v>3200</v>
      </c>
      <c r="F45" s="24">
        <f>INDEX(C45:E45,1,Assumptions!$B$5)</f>
        <v/>
      </c>
      <c r="G45" s="25" t="inlineStr">
        <is>
          <t>Per HJ item 5. Base links live to the 'AI Subscriptions' tab. Low = trimmed stack; High = full stack plus extra seats as the marketing team scales.</t>
        </is>
      </c>
    </row>
    <row r="46" ht="22" customHeight="1">
      <c r="A46" s="21" t="inlineStr">
        <is>
          <t>Google Workspace / business email</t>
        </is>
      </c>
      <c r="B46" s="22" t="inlineStr">
        <is>
          <t>AED/month</t>
        </is>
      </c>
      <c r="C46" s="23" t="n">
        <v>90</v>
      </c>
      <c r="D46" s="23" t="n">
        <v>150</v>
      </c>
      <c r="E46" s="23" t="n">
        <v>260</v>
      </c>
      <c r="F46" s="24">
        <f>INDEX(C46:E46,1,Assumptions!$B$5)</f>
        <v/>
      </c>
      <c r="G46" s="25" t="inlineStr">
        <is>
          <t>Per-seat, scales with headcount.</t>
        </is>
      </c>
    </row>
    <row r="47" ht="22" customHeight="1">
      <c r="A47" s="21" t="inlineStr">
        <is>
          <t>Accounting software (VAT-compliant)</t>
        </is>
      </c>
      <c r="B47" s="22" t="inlineStr">
        <is>
          <t>AED/month</t>
        </is>
      </c>
      <c r="C47" s="23" t="n">
        <v>90</v>
      </c>
      <c r="D47" s="23" t="n">
        <v>160</v>
      </c>
      <c r="E47" s="23" t="n">
        <v>280</v>
      </c>
      <c r="F47" s="24">
        <f>INDEX(C47:E47,1,Assumptions!$B$5)</f>
        <v/>
      </c>
      <c r="G47" s="25" t="inlineStr">
        <is>
          <t>Zoho Books / Xero. Mandatory once VAT-registered.</t>
        </is>
      </c>
    </row>
    <row r="48" ht="22" customHeight="1">
      <c r="A48" s="21" t="inlineStr">
        <is>
          <t>Website hosting &amp; direct booking engine</t>
        </is>
      </c>
      <c r="B48" s="22" t="inlineStr">
        <is>
          <t>AED/month</t>
        </is>
      </c>
      <c r="C48" s="23" t="n">
        <v>100</v>
      </c>
      <c r="D48" s="23" t="n">
        <v>190</v>
      </c>
      <c r="E48" s="23" t="n">
        <v>340</v>
      </c>
      <c r="F48" s="24">
        <f>INDEX(C48:E48,1,Assumptions!$B$5)</f>
        <v/>
      </c>
      <c r="G48" s="25" t="inlineStr">
        <is>
          <t>Recurring cost on the platform built at CAPEX.</t>
        </is>
      </c>
    </row>
    <row r="49" ht="22" customHeight="1">
      <c r="A49" s="21" t="inlineStr">
        <is>
          <t>VoIP, WhatsApp Business API &amp; guest support line</t>
        </is>
      </c>
      <c r="B49" s="22" t="inlineStr">
        <is>
          <t>AED/month</t>
        </is>
      </c>
      <c r="C49" s="23" t="n">
        <v>120</v>
      </c>
      <c r="D49" s="23" t="n">
        <v>230</v>
      </c>
      <c r="E49" s="23" t="n">
        <v>400</v>
      </c>
      <c r="F49" s="24">
        <f>INDEX(C49:E49,1,Assumptions!$B$5)</f>
        <v/>
      </c>
      <c r="G49" s="25" t="inlineStr">
        <is>
          <t>Required to deliver the 24/7 guest support promised in the Business Profile.</t>
        </is>
      </c>
    </row>
    <row r="50" ht="18" customHeight="1">
      <c r="A50" s="4" t="inlineStr">
        <is>
          <t>7.  UNIT OPERATIONS  —  variable, per LIVE unit per month</t>
        </is>
      </c>
      <c r="B50" s="5" t="n"/>
      <c r="C50" s="5" t="n"/>
      <c r="D50" s="5" t="n"/>
      <c r="E50" s="5" t="n"/>
      <c r="F50" s="5" t="n"/>
      <c r="G50" s="5" t="n"/>
    </row>
    <row r="51" ht="22" customHeight="1">
      <c r="A51" s="21" t="inlineStr">
        <is>
          <t>DET holiday-home permit renewal</t>
        </is>
      </c>
      <c r="B51" s="22" t="inlineStr">
        <is>
          <t>AED/unit/yr</t>
        </is>
      </c>
      <c r="C51" s="23" t="n">
        <v>1200</v>
      </c>
      <c r="D51" s="23" t="n">
        <v>1520</v>
      </c>
      <c r="E51" s="23" t="n">
        <v>1800</v>
      </c>
      <c r="F51" s="24">
        <f>INDEX(C51:E51,1,Assumptions!$B$5)</f>
        <v/>
      </c>
      <c r="G51" s="25" t="inlineStr">
        <is>
          <t>Accrued monthly at 1/12. Re-chargeable to the owner in most contracts — if you re-charge, set this to 0.</t>
        </is>
      </c>
    </row>
    <row r="52" ht="33" customHeight="1">
      <c r="A52" s="21" t="inlineStr">
        <is>
          <t>Housekeeping &amp; laundry — net of guest recharge</t>
        </is>
      </c>
      <c r="B52" s="22" t="inlineStr">
        <is>
          <t>AED/unit/mo</t>
        </is>
      </c>
      <c r="C52" s="23" t="n">
        <v>0</v>
      </c>
      <c r="D52" s="23" t="n">
        <v>180</v>
      </c>
      <c r="E52" s="23" t="n">
        <v>420</v>
      </c>
      <c r="F52" s="24">
        <f>INDEX(C52:E52,1,Assumptions!$B$5)</f>
        <v/>
      </c>
      <c r="G52" s="25" t="inlineStr">
        <is>
          <t>Cleaning fees are normally charged to the guest and pass straight through. This line is the RESIDUAL Orizuru absorbs on unsold nights, owner stays and disputes. Genuinely 0 if you recharge everything.</t>
        </is>
      </c>
    </row>
    <row r="53" ht="22" customHeight="1">
      <c r="A53" s="21" t="inlineStr">
        <is>
          <t>Guest consumables &amp; amenities</t>
        </is>
      </c>
      <c r="B53" s="22" t="inlineStr">
        <is>
          <t>AED/unit/mo</t>
        </is>
      </c>
      <c r="C53" s="23" t="n">
        <v>55</v>
      </c>
      <c r="D53" s="23" t="n">
        <v>100</v>
      </c>
      <c r="E53" s="23" t="n">
        <v>170</v>
      </c>
      <c r="F53" s="24">
        <f>INDEX(C53:E53,1,Assumptions!$B$5)</f>
        <v/>
      </c>
      <c r="G53" s="25" t="inlineStr">
        <is>
          <t>Toiletries, coffee, water, welcome items. The Japanese-hospitality positioning makes this a brand cost, not a cost to strip out.</t>
        </is>
      </c>
    </row>
    <row r="54" ht="22" customHeight="1">
      <c r="A54" s="21" t="inlineStr">
        <is>
          <t>Maintenance coordination &amp; petty repairs</t>
        </is>
      </c>
      <c r="B54" s="22" t="inlineStr">
        <is>
          <t>AED/unit/mo</t>
        </is>
      </c>
      <c r="C54" s="23" t="n">
        <v>40</v>
      </c>
      <c r="D54" s="23" t="n">
        <v>90</v>
      </c>
      <c r="E54" s="23" t="n">
        <v>160</v>
      </c>
      <c r="F54" s="24">
        <f>INDEX(C54:E54,1,Assumptions!$B$5)</f>
        <v/>
      </c>
      <c r="G54" s="25" t="inlineStr">
        <is>
          <t>Orizuru's coordination cost. Major repairs are billed to the owner.</t>
        </is>
      </c>
    </row>
    <row r="55" ht="22" customHeight="1">
      <c r="A55" s="21" t="inlineStr">
        <is>
          <t>Linen &amp; towel replacement</t>
        </is>
      </c>
      <c r="B55" s="22" t="inlineStr">
        <is>
          <t>AED/unit/mo</t>
        </is>
      </c>
      <c r="C55" s="23" t="n">
        <v>20</v>
      </c>
      <c r="D55" s="23" t="n">
        <v>40</v>
      </c>
      <c r="E55" s="23" t="n">
        <v>70</v>
      </c>
      <c r="F55" s="24">
        <f>INDEX(C55:E55,1,Assumptions!$B$5)</f>
        <v/>
      </c>
      <c r="G55" s="25" t="inlineStr">
        <is>
          <t>Replacement cycle on the par stock bought at CAPEX. Real and routinely forgotten.</t>
        </is>
      </c>
    </row>
    <row r="56" ht="18" customHeight="1">
      <c r="A56" s="4" t="inlineStr">
        <is>
          <t>8.  OFFICE &amp; ADMINISTRATION  —  Dubai</t>
        </is>
      </c>
      <c r="B56" s="5" t="n"/>
      <c r="C56" s="5" t="n"/>
      <c r="D56" s="5" t="n"/>
      <c r="E56" s="5" t="n"/>
      <c r="F56" s="5" t="n"/>
      <c r="G56" s="5" t="n"/>
    </row>
    <row r="57" ht="22" customHeight="1">
      <c r="A57" s="21" t="inlineStr">
        <is>
          <t>Office rent / registered address</t>
        </is>
      </c>
      <c r="B57" s="22" t="inlineStr">
        <is>
          <t>AED/month</t>
        </is>
      </c>
      <c r="C57" s="23" t="n">
        <v>1500</v>
      </c>
      <c r="D57" s="23" t="n">
        <v>2500</v>
      </c>
      <c r="E57" s="23" t="n">
        <v>4200</v>
      </c>
      <c r="F57" s="24">
        <f>INDEX(C57:E57,1,Assumptions!$B$5)</f>
        <v/>
      </c>
      <c r="G57" s="25" t="inlineStr">
        <is>
          <t>Fronds Building – Office 02. Required to hold the trade licence.</t>
        </is>
      </c>
    </row>
    <row r="58" ht="22" customHeight="1">
      <c r="A58" s="21" t="inlineStr">
        <is>
          <t>Office DEWA, internet &amp; chiller</t>
        </is>
      </c>
      <c r="B58" s="22" t="inlineStr">
        <is>
          <t>AED/month</t>
        </is>
      </c>
      <c r="C58" s="23" t="n">
        <v>300</v>
      </c>
      <c r="D58" s="23" t="n">
        <v>520</v>
      </c>
      <c r="E58" s="23" t="n">
        <v>900</v>
      </c>
      <c r="F58" s="24">
        <f>INDEX(C58:E58,1,Assumptions!$B$5)</f>
        <v/>
      </c>
      <c r="G58" s="25" t="inlineStr">
        <is>
          <t>Office only. Unit utilities sit with the owner under the commission-only model.</t>
        </is>
      </c>
    </row>
    <row r="59" ht="22" customHeight="1">
      <c r="A59" s="21" t="inlineStr">
        <is>
          <t>Mobile &amp; telephone</t>
        </is>
      </c>
      <c r="B59" s="22" t="inlineStr">
        <is>
          <t>AED/month</t>
        </is>
      </c>
      <c r="C59" s="23" t="n">
        <v>150</v>
      </c>
      <c r="D59" s="23" t="n">
        <v>260</v>
      </c>
      <c r="E59" s="23" t="n">
        <v>420</v>
      </c>
      <c r="F59" s="24">
        <f>INDEX(C59:E59,1,Assumptions!$B$5)</f>
        <v/>
      </c>
      <c r="G59" s="25" t="inlineStr">
        <is>
          <t>Includes the dedicated 24/7 guest line.</t>
        </is>
      </c>
    </row>
    <row r="60" ht="22" customHeight="1">
      <c r="A60" s="21" t="inlineStr">
        <is>
          <t>Transport, fuel, Salik &amp; parking</t>
        </is>
      </c>
      <c r="B60" s="22" t="inlineStr">
        <is>
          <t>AED/month</t>
        </is>
      </c>
      <c r="C60" s="23" t="n">
        <v>500</v>
      </c>
      <c r="D60" s="23" t="n">
        <v>1100</v>
      </c>
      <c r="E60" s="23" t="n">
        <v>2200</v>
      </c>
      <c r="F60" s="24">
        <f>INDEX(C60:E60,1,Assumptions!$B$5)</f>
        <v/>
      </c>
      <c r="G60" s="25" t="inlineStr">
        <is>
          <t>Check-ins, inspections and owner meetings across Dubai. Rises directly with unit count — the most commonly underestimated line in this business.</t>
        </is>
      </c>
    </row>
    <row r="61" ht="22" customHeight="1">
      <c r="A61" s="21" t="inlineStr">
        <is>
          <t>Office consumables, printing &amp; courier</t>
        </is>
      </c>
      <c r="B61" s="22" t="inlineStr">
        <is>
          <t>AED/month</t>
        </is>
      </c>
      <c r="C61" s="23" t="n">
        <v>100</v>
      </c>
      <c r="D61" s="23" t="n">
        <v>200</v>
      </c>
      <c r="E61" s="23" t="n">
        <v>380</v>
      </c>
      <c r="F61" s="24">
        <f>INDEX(C61:E61,1,Assumptions!$B$5)</f>
        <v/>
      </c>
      <c r="G61" s="25" t="inlineStr">
        <is>
          <t>Contracts, DET paperwork, key courier.</t>
        </is>
      </c>
    </row>
    <row r="62" ht="22" customHeight="1">
      <c r="A62" s="21" t="inlineStr">
        <is>
          <t>Bank charges &amp; account maintenance</t>
        </is>
      </c>
      <c r="B62" s="22" t="inlineStr">
        <is>
          <t>AED/month</t>
        </is>
      </c>
      <c r="C62" s="23" t="n">
        <v>100</v>
      </c>
      <c r="D62" s="23" t="n">
        <v>175</v>
      </c>
      <c r="E62" s="23" t="n">
        <v>320</v>
      </c>
      <c r="F62" s="24">
        <f>INDEX(C62:E62,1,Assumptions!$B$5)</f>
        <v/>
      </c>
      <c r="G62" s="25" t="inlineStr">
        <is>
          <t>Multi-currency corporate current account per the Business Profile.</t>
        </is>
      </c>
    </row>
    <row r="63" ht="22" customHeight="1">
      <c r="A63" s="21" t="inlineStr">
        <is>
          <t>Payment gateway / OTA payout fees</t>
        </is>
      </c>
      <c r="B63" s="22" t="inlineStr">
        <is>
          <t>% of gross collections</t>
        </is>
      </c>
      <c r="C63" s="34" t="n">
        <v>0.018</v>
      </c>
      <c r="D63" s="34" t="n">
        <v>0.026</v>
      </c>
      <c r="E63" s="34" t="n">
        <v>0.032</v>
      </c>
      <c r="F63" s="35">
        <f>INDEX(C63:E63,1,Assumptions!$B$5)</f>
        <v/>
      </c>
      <c r="G63" s="25" t="inlineStr">
        <is>
          <t>Applied to gross booking revenue passing through Orizuru's account. Excluded if the OTA pays the owner directly — set to 0 in that case.</t>
        </is>
      </c>
    </row>
    <row r="64" ht="18" customHeight="1">
      <c r="A64" s="4" t="inlineStr">
        <is>
          <t>9.  PROFESSIONAL, COMPLIANCE &amp; INSURANCE</t>
        </is>
      </c>
      <c r="B64" s="5" t="n"/>
      <c r="C64" s="5" t="n"/>
      <c r="D64" s="5" t="n"/>
      <c r="E64" s="5" t="n"/>
      <c r="F64" s="5" t="n"/>
      <c r="G64" s="5" t="n"/>
    </row>
    <row r="65" ht="22" customHeight="1">
      <c r="A65" s="21" t="inlineStr">
        <is>
          <t>Bookkeeping &amp; management accounts</t>
        </is>
      </c>
      <c r="B65" s="22" t="inlineStr">
        <is>
          <t>AED/month</t>
        </is>
      </c>
      <c r="C65" s="23" t="n">
        <v>500</v>
      </c>
      <c r="D65" s="23" t="n">
        <v>900</v>
      </c>
      <c r="E65" s="23" t="n">
        <v>1600</v>
      </c>
      <c r="F65" s="24">
        <f>INDEX(C65:E65,1,Assumptions!$B$5)</f>
        <v/>
      </c>
      <c r="G65" s="25" t="inlineStr">
        <is>
          <t>Outsourced. Cheaper and more reliable than an in-house hire at this scale.</t>
        </is>
      </c>
    </row>
    <row r="66" ht="22" customHeight="1">
      <c r="A66" s="21" t="inlineStr">
        <is>
          <t>VAT return preparation &amp; filing</t>
        </is>
      </c>
      <c r="B66" s="22" t="inlineStr">
        <is>
          <t>AED/quarter</t>
        </is>
      </c>
      <c r="C66" s="23" t="n">
        <v>400</v>
      </c>
      <c r="D66" s="23" t="n">
        <v>700</v>
      </c>
      <c r="E66" s="23" t="n">
        <v>1200</v>
      </c>
      <c r="F66" s="24">
        <f>INDEX(C66:E66,1,Assumptions!$B$5)</f>
        <v/>
      </c>
      <c r="G66" s="25" t="inlineStr">
        <is>
          <t>Quarterly filing. Charged in Months 3, 6, 9 and 12.</t>
        </is>
      </c>
    </row>
    <row r="67" ht="22" customHeight="1">
      <c r="A67" s="21" t="inlineStr">
        <is>
          <t>Corporate Tax compliance &amp; filing</t>
        </is>
      </c>
      <c r="B67" s="22" t="inlineStr">
        <is>
          <t>AED/year</t>
        </is>
      </c>
      <c r="C67" s="23" t="n">
        <v>2500</v>
      </c>
      <c r="D67" s="23" t="n">
        <v>4000</v>
      </c>
      <c r="E67" s="23" t="n">
        <v>6500</v>
      </c>
      <c r="F67" s="24">
        <f>INDEX(C67:E67,1,Assumptions!$B$5)</f>
        <v/>
      </c>
      <c r="G67" s="25" t="inlineStr">
        <is>
          <t>UAE Corporate Tax at 9% above AED 375,000 taxable profit. Compliance cost only — tax itself is not OPEX.</t>
        </is>
      </c>
    </row>
    <row r="68" ht="22" customHeight="1">
      <c r="A68" s="21" t="inlineStr">
        <is>
          <t>External audit</t>
        </is>
      </c>
      <c r="B68" s="22" t="inlineStr">
        <is>
          <t>AED/year</t>
        </is>
      </c>
      <c r="C68" s="23" t="n">
        <v>3500</v>
      </c>
      <c r="D68" s="23" t="n">
        <v>6000</v>
      </c>
      <c r="E68" s="23" t="n">
        <v>10000</v>
      </c>
      <c r="F68" s="24">
        <f>INDEX(C68:E68,1,Assumptions!$B$5)</f>
        <v/>
      </c>
      <c r="G68" s="25" t="inlineStr">
        <is>
          <t>Accrued monthly. Banks and owners increasingly require audited accounts.</t>
        </is>
      </c>
    </row>
    <row r="69" ht="22" customHeight="1">
      <c r="A69" s="21" t="inlineStr">
        <is>
          <t>PRO / government liaison services</t>
        </is>
      </c>
      <c r="B69" s="22" t="inlineStr">
        <is>
          <t>AED/year</t>
        </is>
      </c>
      <c r="C69" s="23" t="n">
        <v>1500</v>
      </c>
      <c r="D69" s="23" t="n">
        <v>2800</v>
      </c>
      <c r="E69" s="23" t="n">
        <v>4500</v>
      </c>
      <c r="F69" s="24">
        <f>INDEX(C69:E69,1,Assumptions!$B$5)</f>
        <v/>
      </c>
      <c r="G69" s="25" t="inlineStr">
        <is>
          <t>Visa renewals, licence amendments, DET filings.</t>
        </is>
      </c>
    </row>
    <row r="70" ht="22" customHeight="1">
      <c r="A70" s="21" t="inlineStr">
        <is>
          <t>Trade licence &amp; DET operator permit renewal</t>
        </is>
      </c>
      <c r="B70" s="22" t="inlineStr">
        <is>
          <t>AED/year</t>
        </is>
      </c>
      <c r="C70" s="23" t="n">
        <v>14000</v>
      </c>
      <c r="D70" s="23" t="n">
        <v>19000</v>
      </c>
      <c r="E70" s="23" t="n">
        <v>26000</v>
      </c>
      <c r="F70" s="24">
        <f>INDEX(C70:E70,1,Assumptions!$B$5)</f>
        <v/>
      </c>
      <c r="G70" s="25" t="inlineStr">
        <is>
          <t>Accrued monthly so the renewal does not blow a hole in one month's cash. Combines DED licence and DET operator permit renewal.</t>
        </is>
      </c>
    </row>
    <row r="71" ht="22" customHeight="1">
      <c r="A71" s="21" t="inlineStr">
        <is>
          <t>Public liability &amp; professional indemnity insurance</t>
        </is>
      </c>
      <c r="B71" s="22" t="inlineStr">
        <is>
          <t>AED/year</t>
        </is>
      </c>
      <c r="C71" s="23" t="n">
        <v>3000</v>
      </c>
      <c r="D71" s="23" t="n">
        <v>5500</v>
      </c>
      <c r="E71" s="23" t="n">
        <v>9500</v>
      </c>
      <c r="F71" s="24">
        <f>INDEX(C71:E71,1,Assumptions!$B$5)</f>
        <v/>
      </c>
      <c r="G71" s="25" t="inlineStr">
        <is>
          <t>Essential — Orizuru holds keys to and controls access to other people's property.</t>
        </is>
      </c>
    </row>
    <row r="72" ht="22" customHeight="1">
      <c r="A72" s="21" t="inlineStr">
        <is>
          <t>Legal, contract templates &amp; disputes</t>
        </is>
      </c>
      <c r="B72" s="22" t="inlineStr">
        <is>
          <t>AED/year</t>
        </is>
      </c>
      <c r="C72" s="23" t="n">
        <v>1500</v>
      </c>
      <c r="D72" s="23" t="n">
        <v>3000</v>
      </c>
      <c r="E72" s="23" t="n">
        <v>6000</v>
      </c>
      <c r="F72" s="24">
        <f>INDEX(C72:E72,1,Assumptions!$B$5)</f>
        <v/>
      </c>
      <c r="G72" s="25" t="inlineStr">
        <is>
          <t>Management agreements, owner disputes, guest damage claims.</t>
        </is>
      </c>
    </row>
    <row r="73" ht="18" customHeight="1">
      <c r="A73" s="4" t="inlineStr">
        <is>
          <t>10.  CONTINGENCY</t>
        </is>
      </c>
      <c r="B73" s="5" t="n"/>
      <c r="C73" s="5" t="n"/>
      <c r="D73" s="5" t="n"/>
      <c r="E73" s="5" t="n"/>
      <c r="F73" s="5" t="n"/>
      <c r="G73" s="5" t="n"/>
    </row>
    <row r="74" ht="22" customHeight="1">
      <c r="A74" s="21" t="inlineStr">
        <is>
          <t>Contingency</t>
        </is>
      </c>
      <c r="B74" s="22" t="inlineStr">
        <is>
          <t>% of total OPEX</t>
        </is>
      </c>
      <c r="C74" s="26" t="n">
        <v>0.03</v>
      </c>
      <c r="D74" s="26" t="n">
        <v>0.05</v>
      </c>
      <c r="E74" s="26" t="n">
        <v>0.08</v>
      </c>
      <c r="F74" s="27">
        <f>INDEX(C74:E74,1,Assumptions!$B$5)</f>
        <v/>
      </c>
      <c r="G74" s="25" t="inlineStr">
        <is>
          <t>First-year UAE service company. 5% is the prudent base.</t>
        </is>
      </c>
    </row>
  </sheetData>
  <mergeCells count="12">
    <mergeCell ref="A1:G1"/>
    <mergeCell ref="A17:G17"/>
    <mergeCell ref="A56:G56"/>
    <mergeCell ref="A50:G50"/>
    <mergeCell ref="A24:G24"/>
    <mergeCell ref="A2:G2"/>
    <mergeCell ref="A30:G30"/>
    <mergeCell ref="A38:G38"/>
    <mergeCell ref="A64:G64"/>
    <mergeCell ref="A41:G41"/>
    <mergeCell ref="A73:G73"/>
    <mergeCell ref="A10:G10"/>
  </mergeCells>
  <dataValidations count="2">
    <dataValidation sqref="B4" showDropDown="0" showInputMessage="0" showErrorMessage="0" allowBlank="0" type="list">
      <formula1>"Low,Base,High"</formula1>
    </dataValidation>
    <dataValidation sqref="B6" showDropDown="0" showInputMessage="0" showErrorMessage="0" allowBlank="0" type="list">
      <formula1>"Option 1,Option 2,Both"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showGridLines="0" workbookViewId="0">
      <selection activeCell="A1" sqref="A1"/>
    </sheetView>
  </sheetViews>
  <sheetFormatPr baseColWidth="8" defaultRowHeight="15"/>
  <cols>
    <col width="46" customWidth="1" min="1" max="1"/>
    <col width="17" customWidth="1" min="2" max="2"/>
    <col width="17" customWidth="1" min="3" max="3"/>
    <col width="15" customWidth="1" min="4" max="4"/>
    <col width="3" customWidth="1" min="5" max="5"/>
    <col width="60" customWidth="1" min="6" max="6"/>
  </cols>
  <sheetData>
    <row r="1" ht="26" customHeight="1">
      <c r="A1" s="1" t="inlineStr">
        <is>
          <t>OPEX SUMMARY — YEAR 1</t>
        </is>
      </c>
      <c r="B1" s="2" t="n"/>
      <c r="C1" s="2" t="n"/>
      <c r="D1" s="2" t="n"/>
      <c r="E1" s="2" t="n"/>
      <c r="F1" s="2" t="n"/>
    </row>
    <row r="2" ht="16" customHeight="1">
      <c r="A2" s="3" t="inlineStr">
        <is>
          <t>All figures AED. Reads live from 'OPEX Monthly'. Change the scenario on the Assumptions tab to re-cut it.</t>
        </is>
      </c>
      <c r="B2" s="2" t="n"/>
      <c r="C2" s="2" t="n"/>
      <c r="D2" s="2" t="n"/>
      <c r="E2" s="2" t="n"/>
      <c r="F2" s="2" t="n"/>
    </row>
    <row r="4" ht="24" customHeight="1">
      <c r="A4" s="20" t="inlineStr">
        <is>
          <t>Category</t>
        </is>
      </c>
      <c r="B4" s="20" t="inlineStr">
        <is>
          <t>FY1 total</t>
        </is>
      </c>
      <c r="C4" s="20" t="inlineStr">
        <is>
          <t>Monthly average</t>
        </is>
      </c>
      <c r="D4" s="20" t="inlineStr">
        <is>
          <t>% of total OPEX</t>
        </is>
      </c>
      <c r="E4" s="7" t="n"/>
      <c r="F4" s="20" t="inlineStr">
        <is>
          <t>Comment</t>
        </is>
      </c>
    </row>
    <row r="5" ht="26" customHeight="1">
      <c r="A5" s="38" t="inlineStr">
        <is>
          <t>A.  STAFF COSTS</t>
        </is>
      </c>
      <c r="B5" s="37">
        <f>'OPEX Monthly'!O21</f>
        <v/>
      </c>
      <c r="C5" s="30">
        <f>B5/12</f>
        <v/>
      </c>
      <c r="D5" s="39">
        <f>IF($B$14=0,0,B5/$B$14)</f>
        <v/>
      </c>
      <c r="E5" s="40" t="n"/>
      <c r="F5" s="25" t="inlineStr">
        <is>
          <t>Understated by design: directors work unpaid per HJ. One ops person for a 70–80 unit portfolio is thin — see the notes below.</t>
        </is>
      </c>
    </row>
    <row r="6" ht="26" customHeight="1">
      <c r="A6" s="38" t="inlineStr">
        <is>
          <t>B.  Marketing — Option 1 (fully online)</t>
        </is>
      </c>
      <c r="B6" s="37">
        <f>'OPEX Monthly'!O28</f>
        <v/>
      </c>
      <c r="C6" s="30">
        <f>B6/12</f>
        <v/>
      </c>
      <c r="D6" s="39">
        <f>IF($B$14=0,0,B6/$B$14)</f>
        <v/>
      </c>
      <c r="E6" s="40" t="n"/>
      <c r="F6" s="25" t="inlineStr">
        <is>
          <t>Runs M1–M2 only unless adopted from M3 on the Assumptions tab.</t>
        </is>
      </c>
    </row>
    <row r="7" ht="26" customHeight="1">
      <c r="A7" s="38" t="inlineStr">
        <is>
          <t>C.  Marketing — Option 2 (remote office)</t>
        </is>
      </c>
      <c r="B7" s="37">
        <f>'OPEX Monthly'!O37</f>
        <v/>
      </c>
      <c r="C7" s="30">
        <f>B7/12</f>
        <v/>
      </c>
      <c r="D7" s="39">
        <f>IF($B$14=0,0,B7/$B$14)</f>
        <v/>
      </c>
      <c r="E7" s="40" t="n"/>
      <c r="F7" s="25" t="inlineStr">
        <is>
          <t>Runs M1–M2 only unless adopted from M3 on the Assumptions tab.</t>
        </is>
      </c>
    </row>
    <row r="8" ht="26" customHeight="1">
      <c r="A8" s="38" t="inlineStr">
        <is>
          <t>D.  Unit-acquisition commission (2%)</t>
        </is>
      </c>
      <c r="B8" s="37">
        <f>'OPEX Monthly'!O41</f>
        <v/>
      </c>
      <c r="C8" s="30">
        <f>B8/12</f>
        <v/>
      </c>
      <c r="D8" s="39">
        <f>IF($B$14=0,0,B8/$B$14)</f>
        <v/>
      </c>
      <c r="E8" s="40" t="n"/>
      <c r="F8" s="25" t="inlineStr">
        <is>
          <t>Grows every month as the portfolio grows — this is the line that scales fastest of anything here.</t>
        </is>
      </c>
    </row>
    <row r="9" ht="26" customHeight="1">
      <c r="A9" s="38" t="inlineStr">
        <is>
          <t>E.  TECHNOLOGY, PLATFORM &amp; AI</t>
        </is>
      </c>
      <c r="B9" s="37">
        <f>'OPEX Monthly'!O52</f>
        <v/>
      </c>
      <c r="C9" s="30">
        <f>B9/12</f>
        <v/>
      </c>
      <c r="D9" s="39">
        <f>IF($B$14=0,0,B9/$B$14)</f>
        <v/>
      </c>
      <c r="E9" s="40" t="n"/>
      <c r="F9" s="25" t="inlineStr">
        <is>
          <t>Part fixed (AI, Workspace, website), part per-unit (PMS, pricing, locks). Includes HJ item 5.</t>
        </is>
      </c>
    </row>
    <row r="10" ht="26" customHeight="1">
      <c r="A10" s="38" t="inlineStr">
        <is>
          <t>F.  UNIT OPERATIONS</t>
        </is>
      </c>
      <c r="B10" s="37">
        <f>'OPEX Monthly'!O60</f>
        <v/>
      </c>
      <c r="C10" s="30">
        <f>B10/12</f>
        <v/>
      </c>
      <c r="D10" s="39">
        <f>IF($B$14=0,0,B10/$B$14)</f>
        <v/>
      </c>
      <c r="E10" s="40" t="n"/>
      <c r="F10" s="25" t="inlineStr">
        <is>
          <t>Fully variable. Much of it is re-chargeable to owners or guests — set the relevant assumptions to 0 if you recharge.</t>
        </is>
      </c>
    </row>
    <row r="11" ht="26" customHeight="1">
      <c r="A11" s="38" t="inlineStr">
        <is>
          <t>G.  OFFICE &amp; ADMINISTRATION</t>
        </is>
      </c>
      <c r="B11" s="37">
        <f>'OPEX Monthly'!O70</f>
        <v/>
      </c>
      <c r="C11" s="30">
        <f>B11/12</f>
        <v/>
      </c>
      <c r="D11" s="39">
        <f>IF($B$14=0,0,B11/$B$14)</f>
        <v/>
      </c>
      <c r="E11" s="40" t="n"/>
      <c r="F11" s="25" t="inlineStr">
        <is>
          <t>Mostly fixed. Transport is the one line that climbs with unit count.</t>
        </is>
      </c>
    </row>
    <row r="12" ht="26" customHeight="1">
      <c r="A12" s="38" t="inlineStr">
        <is>
          <t>H.  PROFESSIONAL, COMPLIANCE &amp; INSURANCE</t>
        </is>
      </c>
      <c r="B12" s="37">
        <f>'OPEX Monthly'!O81</f>
        <v/>
      </c>
      <c r="C12" s="30">
        <f>B12/12</f>
        <v/>
      </c>
      <c r="D12" s="39">
        <f>IF($B$14=0,0,B12/$B$14)</f>
        <v/>
      </c>
      <c r="E12" s="40" t="n"/>
      <c r="F12" s="25" t="inlineStr">
        <is>
          <t>Annual costs accrued monthly so no single month takes the hit. Non-negotiable for a licensed UAE entity.</t>
        </is>
      </c>
    </row>
    <row r="13">
      <c r="A13" s="38" t="inlineStr">
        <is>
          <t>Contingency</t>
        </is>
      </c>
      <c r="B13" s="37">
        <f>'OPEX Monthly'!O85</f>
        <v/>
      </c>
      <c r="C13" s="30">
        <f>B13/12</f>
        <v/>
      </c>
      <c r="D13" s="39">
        <f>IF($B$14=0,0,B13/$B$14)</f>
        <v/>
      </c>
      <c r="E13" s="40" t="n"/>
      <c r="F13" s="41" t="inlineStr">
        <is>
          <t>Set on the Assumptions tab.</t>
        </is>
      </c>
    </row>
    <row r="14" ht="20" customHeight="1">
      <c r="A14" s="42" t="inlineStr">
        <is>
          <t>TOTAL OPEX — YEAR 1</t>
        </is>
      </c>
      <c r="B14" s="43">
        <f>SUM(B5:B13)</f>
        <v/>
      </c>
      <c r="C14" s="43">
        <f>B14/12</f>
        <v/>
      </c>
      <c r="D14" s="44">
        <f>IF($B$14=0,0,SUM(D5:D13))</f>
        <v/>
      </c>
      <c r="E14" s="5" t="n"/>
      <c r="F14" s="5" t="n"/>
    </row>
    <row r="16" ht="18" customHeight="1">
      <c r="A16" s="4" t="inlineStr">
        <is>
          <t>KEY METRICS — YEAR 1</t>
        </is>
      </c>
      <c r="B16" s="5" t="n"/>
      <c r="C16" s="5" t="n"/>
      <c r="D16" s="5" t="n"/>
      <c r="E16" s="5" t="n"/>
      <c r="F16" s="5" t="n"/>
    </row>
    <row r="17" ht="24" customHeight="1">
      <c r="A17" s="38" t="inlineStr">
        <is>
          <t>Units signed by end of Year 1</t>
        </is>
      </c>
      <c r="B17" s="45">
        <f>'OPEX Monthly'!N8</f>
        <v/>
      </c>
      <c r="C17" s="40" t="n"/>
      <c r="D17" s="40" t="n"/>
      <c r="E17" s="40" t="n"/>
      <c r="F17" s="25" t="inlineStr">
        <is>
          <t>Against the Business Profile's 70–80 unit Year-1 target.</t>
        </is>
      </c>
    </row>
    <row r="18" ht="24" customHeight="1">
      <c r="A18" s="38" t="inlineStr">
        <is>
          <t>Gross booking revenue (portfolio, guest spend)</t>
        </is>
      </c>
      <c r="B18" s="37">
        <f>'OPEX Monthly'!O10</f>
        <v/>
      </c>
      <c r="C18" s="40" t="n"/>
      <c r="D18" s="40" t="n"/>
      <c r="E18" s="40" t="n"/>
      <c r="F18" s="25" t="inlineStr">
        <is>
          <t>This is what guests pay across the portfolio — NOT Orizuru's revenue.</t>
        </is>
      </c>
    </row>
    <row r="19" ht="24" customHeight="1">
      <c r="A19" s="38" t="inlineStr">
        <is>
          <t>Orizuru revenue (management fees)</t>
        </is>
      </c>
      <c r="B19" s="37">
        <f>'OPEX Monthly'!O11</f>
        <v/>
      </c>
      <c r="C19" s="40" t="n"/>
      <c r="D19" s="40" t="n"/>
      <c r="E19" s="40" t="n"/>
      <c r="F19" s="25" t="inlineStr">
        <is>
          <t>Orizuru's actual top line under the commission-only model.</t>
        </is>
      </c>
    </row>
    <row r="20" ht="24" customHeight="1">
      <c r="A20" s="38" t="inlineStr">
        <is>
          <t>Total OPEX</t>
        </is>
      </c>
      <c r="B20" s="30">
        <f>B14</f>
        <v/>
      </c>
      <c r="C20" s="40" t="n"/>
      <c r="D20" s="40" t="n"/>
      <c r="E20" s="40" t="n"/>
      <c r="F20" s="25" t="inlineStr"/>
    </row>
    <row r="21" ht="24" customHeight="1">
      <c r="A21" s="38" t="inlineStr">
        <is>
          <t>Operating surplus / (deficit)</t>
        </is>
      </c>
      <c r="B21" s="37">
        <f>'OPEX Monthly'!O91</f>
        <v/>
      </c>
      <c r="C21" s="40" t="n"/>
      <c r="D21" s="40" t="n"/>
      <c r="E21" s="40" t="n"/>
      <c r="F21" s="25" t="inlineStr">
        <is>
          <t>Before corporate tax and before any director remuneration.</t>
        </is>
      </c>
    </row>
    <row r="22" ht="24" customHeight="1">
      <c r="A22" s="38" t="inlineStr">
        <is>
          <t>Peak cash requirement (worst cumulative month)</t>
        </is>
      </c>
      <c r="B22" s="37">
        <f>MIN('OPEX Monthly'!C92:N92)</f>
        <v/>
      </c>
      <c r="C22" s="40" t="n"/>
      <c r="D22" s="40" t="n"/>
      <c r="E22" s="40" t="n"/>
      <c r="F22" s="25" t="inlineStr">
        <is>
          <t>The most negative the cumulative operating cash position ever gets. THIS is the working capital number to fund — not the annual OPEX figure.</t>
        </is>
      </c>
    </row>
    <row r="23" ht="24" customHeight="1">
      <c r="A23" s="38" t="inlineStr">
        <is>
          <t>OPEX as % of Orizuru revenue</t>
        </is>
      </c>
      <c r="B23" s="46">
        <f>IF(B19=0,0,B20/B19)</f>
        <v/>
      </c>
      <c r="C23" s="40" t="n"/>
      <c r="D23" s="40" t="n"/>
      <c r="E23" s="40" t="n"/>
      <c r="F23" s="25" t="inlineStr">
        <is>
          <t>Total OPEX divided by Orizuru's management fee revenue. Above 100% means Year 1 runs at a loss — normal while the portfolio ramps.</t>
        </is>
      </c>
    </row>
    <row r="24" ht="24" customHeight="1">
      <c r="A24" s="38" t="inlineStr">
        <is>
          <t>Exit-run-rate monthly OPEX (Month 12)</t>
        </is>
      </c>
      <c r="B24" s="37">
        <f>'OPEX Monthly'!N86</f>
        <v/>
      </c>
      <c r="C24" s="40" t="n"/>
      <c r="D24" s="40" t="n"/>
      <c r="E24" s="40" t="n"/>
      <c r="F24" s="25" t="inlineStr">
        <is>
          <t>The steady-state monthly cost you carry into Year 2.</t>
        </is>
      </c>
    </row>
    <row r="25" ht="24" customHeight="1">
      <c r="A25" s="38" t="inlineStr">
        <is>
          <t>OPEX per live unit at Month 12</t>
        </is>
      </c>
      <c r="B25" s="37">
        <f>'OPEX Monthly'!N94</f>
        <v/>
      </c>
      <c r="C25" s="40" t="n"/>
      <c r="D25" s="40" t="n"/>
      <c r="E25" s="40" t="n"/>
      <c r="F25" s="25" t="inlineStr">
        <is>
          <t>Efficiency measure. Should fall steadily as the portfolio grows.</t>
        </is>
      </c>
    </row>
    <row r="27" ht="18" customHeight="1">
      <c r="A27" s="4" t="inlineStr">
        <is>
          <t>WHAT I ADDED THAT WAS NOT IN YOUR BRIEF — AND WHY</t>
        </is>
      </c>
      <c r="B27" s="5" t="n"/>
      <c r="C27" s="5" t="n"/>
      <c r="D27" s="5" t="n"/>
      <c r="E27" s="5" t="n"/>
      <c r="F27" s="5" t="n"/>
    </row>
    <row r="28" ht="32" customHeight="1">
      <c r="A28" s="47" t="inlineStr">
        <is>
          <t>•  Staff visa, medical insurance, Emirates ID and end-of-service gratuity. AED 3,000/month is the salary, not the cost of employing someone in the UAE. The true loaded cost is roughly 45–50% higher.</t>
        </is>
      </c>
    </row>
    <row r="29" ht="32" customHeight="1">
      <c r="A29" s="47" t="inlineStr">
        <is>
          <t>•  Trade licence and DET operator permit renewal, accrued monthly. These arrive as a single large annual bill and sink first-year cash plans that ignored them.</t>
        </is>
      </c>
    </row>
    <row r="30" ht="32" customHeight="1">
      <c r="A30" s="47" t="inlineStr">
        <is>
          <t>•  Public liability and professional indemnity insurance. Orizuru holds keys to other people's property — this is not optional.</t>
        </is>
      </c>
    </row>
    <row r="31" ht="32" customHeight="1">
      <c r="A31" s="47" t="inlineStr">
        <is>
          <t>•  External audit and Corporate Tax compliance. UAE Corporate Tax applies above AED 375,000 of taxable profit; the compliance cost applies regardless.</t>
        </is>
      </c>
    </row>
    <row r="32" ht="32" customHeight="1">
      <c r="A32" s="47" t="inlineStr">
        <is>
          <t>•  Transport, fuel, Salik and parking. Check-ins and inspections across Dubai at 70–80 units. Consistently the most underestimated line in holiday-home management.</t>
        </is>
      </c>
    </row>
    <row r="33" ht="32" customHeight="1">
      <c r="A33" s="47" t="inlineStr">
        <is>
          <t>•  Per-unit software: PMS/channel manager, dynamic pricing, smart-lock platform. These are priced per property, so they scale with the portfolio and are easy to miss when modelling a single unit.</t>
        </is>
      </c>
    </row>
    <row r="34" ht="32" customHeight="1">
      <c r="A34" s="47" t="inlineStr">
        <is>
          <t>•  For Option 2: local utilities, an on-site supervisor, and a compliant offshore contracting route. A room with 4–6 people in it costs more than rent plus wages.</t>
        </is>
      </c>
    </row>
    <row r="35" ht="19" customHeight="1">
      <c r="A35" s="47" t="inlineStr">
        <is>
          <t>•  Contingency. First-year UAE service company with regulatory fees in motion.</t>
        </is>
      </c>
    </row>
    <row r="37" ht="18" customHeight="1">
      <c r="A37" s="4" t="inlineStr">
        <is>
          <t>THREE THINGS TO LOOK AT BEFORE YOU CIRCULATE THIS</t>
        </is>
      </c>
      <c r="B37" s="5" t="n"/>
      <c r="C37" s="5" t="n"/>
      <c r="D37" s="5" t="n"/>
      <c r="E37" s="5" t="n"/>
      <c r="F37" s="5" t="n"/>
    </row>
    <row r="38" ht="60" customHeight="1">
      <c r="A38" s="47" t="inlineStr">
        <is>
          <t>•  ONE OPERATIONS PERSON FOR 70–80 UNITS IS NOT ENOUGH. At AED 3,000/month you have one person handling check-ins, guest support, housekeeping coordination, maintenance and owner reporting across a portfolio spread over Dubai. Either headcount rises through the year, or check-in and housekeeping get outsourced per unit. The model runs with your figure as instructed — but budget for a second and third hire around Months 4 and 8.</t>
        </is>
      </c>
    </row>
    <row r="39" ht="60" customHeight="1">
      <c r="A39" s="47" t="inlineStr">
        <is>
          <t>•  REVENUE RECOGNITION vs THE BUSINESS PROFILE. The profile projects AED 2.5–4.5M Year-1 turnover. Under a pure commission-only model at 70–80 units, Orizuru's own revenue is materially lower — the AED 2.5–4.5M is closer to gross booking value passing through. Agree with your accountant and the bank which figure you are presenting before submission; they are very different numbers.</t>
        </is>
      </c>
    </row>
    <row r="40" ht="47" customHeight="1">
      <c r="A40" s="47" t="inlineStr">
        <is>
          <t>•  THE 2% IS ONGOING, NOT ONE-OFF. As instructed, it applies to every live unit every month, forever. By Month 12 it is one of the larger single lines in the model and it never stops growing. If the intent was a one-off signing incentive, tell me and I will re-cut it — the difference over three years is very large.</t>
        </is>
      </c>
    </row>
  </sheetData>
  <mergeCells count="16">
    <mergeCell ref="A38:F38"/>
    <mergeCell ref="A2:F2"/>
    <mergeCell ref="A16:F16"/>
    <mergeCell ref="A33:F33"/>
    <mergeCell ref="A28:F28"/>
    <mergeCell ref="A1:F1"/>
    <mergeCell ref="A37:F37"/>
    <mergeCell ref="A32:F32"/>
    <mergeCell ref="A27:F27"/>
    <mergeCell ref="A31:F31"/>
    <mergeCell ref="A34:F34"/>
    <mergeCell ref="A35:F35"/>
    <mergeCell ref="A40:F40"/>
    <mergeCell ref="A30:F30"/>
    <mergeCell ref="A39:F39"/>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s>
  <sheetData>
    <row r="1" ht="26" customHeight="1">
      <c r="A1" s="1" t="inlineStr">
        <is>
          <t>OPEX — MONTH BY MONTH, YEAR 1</t>
        </is>
      </c>
      <c r="B1" s="2" t="n"/>
      <c r="C1" s="2" t="n"/>
      <c r="D1" s="2" t="n"/>
      <c r="E1" s="2" t="n"/>
      <c r="F1" s="2" t="n"/>
      <c r="G1" s="2" t="n"/>
      <c r="H1" s="2" t="n"/>
      <c r="I1" s="2" t="n"/>
      <c r="J1" s="2" t="n"/>
      <c r="K1" s="2" t="n"/>
      <c r="L1" s="2" t="n"/>
      <c r="M1" s="2" t="n"/>
      <c r="N1" s="2" t="n"/>
      <c r="O1" s="2" t="n"/>
      <c r="P1" s="2" t="n"/>
    </row>
    <row r="2" ht="16" customHeight="1">
      <c r="A2" s="3" t="inlineStr">
        <is>
          <t>All figures AED. Commission-only model: no unit rent, no owner utilities. Driven entirely by the Assumptions tab — change the scenario there and this whole sheet moves.</t>
        </is>
      </c>
      <c r="B2" s="2" t="n"/>
      <c r="C2" s="2" t="n"/>
      <c r="D2" s="2" t="n"/>
      <c r="E2" s="2" t="n"/>
      <c r="F2" s="2" t="n"/>
      <c r="G2" s="2" t="n"/>
      <c r="H2" s="2" t="n"/>
      <c r="I2" s="2" t="n"/>
      <c r="J2" s="2" t="n"/>
      <c r="K2" s="2" t="n"/>
      <c r="L2" s="2" t="n"/>
      <c r="M2" s="2" t="n"/>
      <c r="N2" s="2" t="n"/>
      <c r="O2" s="2" t="n"/>
      <c r="P2" s="2" t="n"/>
    </row>
    <row r="4" ht="22" customHeight="1">
      <c r="A4" s="48" t="inlineStr">
        <is>
          <t>Line item</t>
        </is>
      </c>
      <c r="B4" s="48" t="inlineStr">
        <is>
          <t>Basis</t>
        </is>
      </c>
      <c r="C4" s="20" t="inlineStr">
        <is>
          <t>M1</t>
        </is>
      </c>
      <c r="D4" s="20" t="inlineStr">
        <is>
          <t>M2</t>
        </is>
      </c>
      <c r="E4" s="20" t="inlineStr">
        <is>
          <t>M3</t>
        </is>
      </c>
      <c r="F4" s="20" t="inlineStr">
        <is>
          <t>M4</t>
        </is>
      </c>
      <c r="G4" s="20" t="inlineStr">
        <is>
          <t>M5</t>
        </is>
      </c>
      <c r="H4" s="20" t="inlineStr">
        <is>
          <t>M6</t>
        </is>
      </c>
      <c r="I4" s="20" t="inlineStr">
        <is>
          <t>M7</t>
        </is>
      </c>
      <c r="J4" s="20" t="inlineStr">
        <is>
          <t>M8</t>
        </is>
      </c>
      <c r="K4" s="20" t="inlineStr">
        <is>
          <t>M9</t>
        </is>
      </c>
      <c r="L4" s="20" t="inlineStr">
        <is>
          <t>M10</t>
        </is>
      </c>
      <c r="M4" s="20" t="inlineStr">
        <is>
          <t>M11</t>
        </is>
      </c>
      <c r="N4" s="20" t="inlineStr">
        <is>
          <t>M12</t>
        </is>
      </c>
      <c r="O4" s="20" t="inlineStr">
        <is>
          <t>FY1 TOTAL</t>
        </is>
      </c>
      <c r="P4" s="20" t="inlineStr">
        <is>
          <t>% of OPEX</t>
        </is>
      </c>
    </row>
    <row r="5" ht="18" customHeight="1">
      <c r="A5" s="4" t="inlineStr">
        <is>
          <t>DRIVERS  —  edit the yellow ramp row to change the whole model</t>
        </is>
      </c>
      <c r="B5" s="5" t="n"/>
      <c r="C5" s="5" t="n"/>
      <c r="D5" s="5" t="n"/>
      <c r="E5" s="5" t="n"/>
      <c r="F5" s="5" t="n"/>
      <c r="G5" s="5" t="n"/>
      <c r="H5" s="5" t="n"/>
      <c r="I5" s="5" t="n"/>
      <c r="J5" s="5" t="n"/>
      <c r="K5" s="5" t="n"/>
      <c r="L5" s="5" t="n"/>
      <c r="M5" s="5" t="n"/>
      <c r="N5" s="5" t="n"/>
      <c r="O5" s="5" t="n"/>
      <c r="P5" s="5" t="n"/>
    </row>
    <row r="6" ht="20" customHeight="1">
      <c r="A6" s="49" t="inlineStr">
        <is>
          <t>Month number</t>
        </is>
      </c>
      <c r="B6" s="50" t="inlineStr"/>
      <c r="C6" s="51" t="n">
        <v>1</v>
      </c>
      <c r="D6" s="51" t="n">
        <v>2</v>
      </c>
      <c r="E6" s="51" t="n">
        <v>3</v>
      </c>
      <c r="F6" s="51" t="n">
        <v>4</v>
      </c>
      <c r="G6" s="51" t="n">
        <v>5</v>
      </c>
      <c r="H6" s="51" t="n">
        <v>6</v>
      </c>
      <c r="I6" s="51" t="n">
        <v>7</v>
      </c>
      <c r="J6" s="51" t="n">
        <v>8</v>
      </c>
      <c r="K6" s="51" t="n">
        <v>9</v>
      </c>
      <c r="L6" s="51" t="n">
        <v>10</v>
      </c>
      <c r="M6" s="51" t="n">
        <v>11</v>
      </c>
      <c r="N6" s="51" t="n">
        <v>12</v>
      </c>
      <c r="O6" s="40" t="n"/>
      <c r="P6" s="40" t="n"/>
    </row>
    <row r="7" ht="20" customHeight="1">
      <c r="A7" s="52" t="inlineStr">
        <is>
          <t>New units signed in month</t>
        </is>
      </c>
      <c r="B7" s="50" t="inlineStr">
        <is>
          <t>Input — editable</t>
        </is>
      </c>
      <c r="C7" s="32" t="n">
        <v>3</v>
      </c>
      <c r="D7" s="32" t="n">
        <v>4</v>
      </c>
      <c r="E7" s="32" t="n">
        <v>5</v>
      </c>
      <c r="F7" s="32" t="n">
        <v>6</v>
      </c>
      <c r="G7" s="32" t="n">
        <v>6</v>
      </c>
      <c r="H7" s="32" t="n">
        <v>7</v>
      </c>
      <c r="I7" s="32" t="n">
        <v>7</v>
      </c>
      <c r="J7" s="32" t="n">
        <v>8</v>
      </c>
      <c r="K7" s="32" t="n">
        <v>8</v>
      </c>
      <c r="L7" s="32" t="n">
        <v>8</v>
      </c>
      <c r="M7" s="32" t="n">
        <v>9</v>
      </c>
      <c r="N7" s="32" t="n">
        <v>9</v>
      </c>
      <c r="O7" s="33">
        <f>SUM(C7:N7)</f>
        <v/>
      </c>
      <c r="P7" s="40" t="n"/>
    </row>
    <row r="8" ht="20" customHeight="1">
      <c r="A8" s="53" t="inlineStr">
        <is>
          <t>Cumulative units signed</t>
        </is>
      </c>
      <c r="B8" s="50" t="inlineStr">
        <is>
          <t>Running total</t>
        </is>
      </c>
      <c r="C8" s="54">
        <f>C7</f>
        <v/>
      </c>
      <c r="D8" s="54">
        <f>C8+D7</f>
        <v/>
      </c>
      <c r="E8" s="54">
        <f>D8+E7</f>
        <v/>
      </c>
      <c r="F8" s="54">
        <f>E8+F7</f>
        <v/>
      </c>
      <c r="G8" s="54">
        <f>F8+G7</f>
        <v/>
      </c>
      <c r="H8" s="54">
        <f>G8+H7</f>
        <v/>
      </c>
      <c r="I8" s="54">
        <f>H8+I7</f>
        <v/>
      </c>
      <c r="J8" s="54">
        <f>I8+J7</f>
        <v/>
      </c>
      <c r="K8" s="54">
        <f>J8+K7</f>
        <v/>
      </c>
      <c r="L8" s="54">
        <f>K8+L7</f>
        <v/>
      </c>
      <c r="M8" s="54">
        <f>L8+M7</f>
        <v/>
      </c>
      <c r="N8" s="54">
        <f>M8+N7</f>
        <v/>
      </c>
      <c r="O8" s="33">
        <f>N8</f>
        <v/>
      </c>
      <c r="P8" s="40" t="n"/>
    </row>
    <row r="9" ht="20" customHeight="1">
      <c r="A9" s="53" t="inlineStr">
        <is>
          <t>Live revenue-generating units</t>
        </is>
      </c>
      <c r="B9" s="50" t="inlineStr">
        <is>
          <t>1-month onboarding lag</t>
        </is>
      </c>
      <c r="C9" s="55" t="n">
        <v>0</v>
      </c>
      <c r="D9" s="54">
        <f>C8</f>
        <v/>
      </c>
      <c r="E9" s="54">
        <f>D8</f>
        <v/>
      </c>
      <c r="F9" s="54">
        <f>E8</f>
        <v/>
      </c>
      <c r="G9" s="54">
        <f>F8</f>
        <v/>
      </c>
      <c r="H9" s="54">
        <f>G8</f>
        <v/>
      </c>
      <c r="I9" s="54">
        <f>H8</f>
        <v/>
      </c>
      <c r="J9" s="54">
        <f>I8</f>
        <v/>
      </c>
      <c r="K9" s="54">
        <f>J8</f>
        <v/>
      </c>
      <c r="L9" s="54">
        <f>K8</f>
        <v/>
      </c>
      <c r="M9" s="54">
        <f>L8</f>
        <v/>
      </c>
      <c r="N9" s="54">
        <f>M8</f>
        <v/>
      </c>
      <c r="O9" s="33">
        <f>N9</f>
        <v/>
      </c>
      <c r="P9" s="40" t="n"/>
    </row>
    <row r="10" ht="20" customHeight="1">
      <c r="A10" s="53" t="inlineStr">
        <is>
          <t>Gross booking revenue (portfolio)</t>
        </is>
      </c>
      <c r="B10" s="50" t="inlineStr">
        <is>
          <t>Live units x gross rev/unit</t>
        </is>
      </c>
      <c r="C10" s="30">
        <f>C9*Assumptions!$F$14</f>
        <v/>
      </c>
      <c r="D10" s="30">
        <f>D9*Assumptions!$F$14</f>
        <v/>
      </c>
      <c r="E10" s="30">
        <f>E9*Assumptions!$F$14</f>
        <v/>
      </c>
      <c r="F10" s="30">
        <f>F9*Assumptions!$F$14</f>
        <v/>
      </c>
      <c r="G10" s="30">
        <f>G9*Assumptions!$F$14</f>
        <v/>
      </c>
      <c r="H10" s="30">
        <f>H9*Assumptions!$F$14</f>
        <v/>
      </c>
      <c r="I10" s="30">
        <f>I9*Assumptions!$F$14</f>
        <v/>
      </c>
      <c r="J10" s="30">
        <f>J9*Assumptions!$F$14</f>
        <v/>
      </c>
      <c r="K10" s="30">
        <f>K9*Assumptions!$F$14</f>
        <v/>
      </c>
      <c r="L10" s="30">
        <f>L9*Assumptions!$F$14</f>
        <v/>
      </c>
      <c r="M10" s="30">
        <f>M9*Assumptions!$F$14</f>
        <v/>
      </c>
      <c r="N10" s="30">
        <f>N9*Assumptions!$F$14</f>
        <v/>
      </c>
      <c r="O10" s="24">
        <f>SUM(C10:N10)</f>
        <v/>
      </c>
      <c r="P10" s="40" t="n"/>
    </row>
    <row r="11" ht="20" customHeight="1">
      <c r="A11" s="53" t="inlineStr">
        <is>
          <t>Orizuru management fee revenue</t>
        </is>
      </c>
      <c r="B11" s="50" t="inlineStr">
        <is>
          <t>Gross x management fee %</t>
        </is>
      </c>
      <c r="C11" s="30">
        <f>C10*Assumptions!$F$15</f>
        <v/>
      </c>
      <c r="D11" s="30">
        <f>D10*Assumptions!$F$15</f>
        <v/>
      </c>
      <c r="E11" s="30">
        <f>E10*Assumptions!$F$15</f>
        <v/>
      </c>
      <c r="F11" s="30">
        <f>F10*Assumptions!$F$15</f>
        <v/>
      </c>
      <c r="G11" s="30">
        <f>G10*Assumptions!$F$15</f>
        <v/>
      </c>
      <c r="H11" s="30">
        <f>H10*Assumptions!$F$15</f>
        <v/>
      </c>
      <c r="I11" s="30">
        <f>I10*Assumptions!$F$15</f>
        <v/>
      </c>
      <c r="J11" s="30">
        <f>J10*Assumptions!$F$15</f>
        <v/>
      </c>
      <c r="K11" s="30">
        <f>K10*Assumptions!$F$15</f>
        <v/>
      </c>
      <c r="L11" s="30">
        <f>L10*Assumptions!$F$15</f>
        <v/>
      </c>
      <c r="M11" s="30">
        <f>M10*Assumptions!$F$15</f>
        <v/>
      </c>
      <c r="N11" s="30">
        <f>N10*Assumptions!$F$15</f>
        <v/>
      </c>
      <c r="O11" s="24">
        <f>SUM(C11:N11)</f>
        <v/>
      </c>
      <c r="P11" s="40" t="n"/>
    </row>
    <row r="12" ht="20" customHeight="1">
      <c r="A12" s="56" t="inlineStr">
        <is>
          <t>Option 1 active (1/0)</t>
        </is>
      </c>
      <c r="B12" s="50" t="inlineStr">
        <is>
          <t>Both run M1–M2 per HJ</t>
        </is>
      </c>
      <c r="C12" s="57">
        <f>IF(OR(C6&lt;=Assumptions!$B$7,Assumptions!$B$6="Option 1",Assumptions!$B$6="Both"),1,0)</f>
        <v/>
      </c>
      <c r="D12" s="57">
        <f>IF(OR(D6&lt;=Assumptions!$B$7,Assumptions!$B$6="Option 1",Assumptions!$B$6="Both"),1,0)</f>
        <v/>
      </c>
      <c r="E12" s="57">
        <f>IF(OR(E6&lt;=Assumptions!$B$7,Assumptions!$B$6="Option 1",Assumptions!$B$6="Both"),1,0)</f>
        <v/>
      </c>
      <c r="F12" s="57">
        <f>IF(OR(F6&lt;=Assumptions!$B$7,Assumptions!$B$6="Option 1",Assumptions!$B$6="Both"),1,0)</f>
        <v/>
      </c>
      <c r="G12" s="57">
        <f>IF(OR(G6&lt;=Assumptions!$B$7,Assumptions!$B$6="Option 1",Assumptions!$B$6="Both"),1,0)</f>
        <v/>
      </c>
      <c r="H12" s="57">
        <f>IF(OR(H6&lt;=Assumptions!$B$7,Assumptions!$B$6="Option 1",Assumptions!$B$6="Both"),1,0)</f>
        <v/>
      </c>
      <c r="I12" s="57">
        <f>IF(OR(I6&lt;=Assumptions!$B$7,Assumptions!$B$6="Option 1",Assumptions!$B$6="Both"),1,0)</f>
        <v/>
      </c>
      <c r="J12" s="57">
        <f>IF(OR(J6&lt;=Assumptions!$B$7,Assumptions!$B$6="Option 1",Assumptions!$B$6="Both"),1,0)</f>
        <v/>
      </c>
      <c r="K12" s="57">
        <f>IF(OR(K6&lt;=Assumptions!$B$7,Assumptions!$B$6="Option 1",Assumptions!$B$6="Both"),1,0)</f>
        <v/>
      </c>
      <c r="L12" s="57">
        <f>IF(OR(L6&lt;=Assumptions!$B$7,Assumptions!$B$6="Option 1",Assumptions!$B$6="Both"),1,0)</f>
        <v/>
      </c>
      <c r="M12" s="57">
        <f>IF(OR(M6&lt;=Assumptions!$B$7,Assumptions!$B$6="Option 1",Assumptions!$B$6="Both"),1,0)</f>
        <v/>
      </c>
      <c r="N12" s="57">
        <f>IF(OR(N6&lt;=Assumptions!$B$7,Assumptions!$B$6="Option 1",Assumptions!$B$6="Both"),1,0)</f>
        <v/>
      </c>
      <c r="O12" s="40" t="n"/>
      <c r="P12" s="40" t="n"/>
    </row>
    <row r="13" ht="20" customHeight="1">
      <c r="A13" s="56" t="inlineStr">
        <is>
          <t>Option 2 active (1/0)</t>
        </is>
      </c>
      <c r="B13" s="50" t="inlineStr">
        <is>
          <t>Both run M1–M2 per HJ</t>
        </is>
      </c>
      <c r="C13" s="57">
        <f>IF(OR(C6&lt;=Assumptions!$B$7,Assumptions!$B$6="Option 2",Assumptions!$B$6="Both"),1,0)</f>
        <v/>
      </c>
      <c r="D13" s="57">
        <f>IF(OR(D6&lt;=Assumptions!$B$7,Assumptions!$B$6="Option 2",Assumptions!$B$6="Both"),1,0)</f>
        <v/>
      </c>
      <c r="E13" s="57">
        <f>IF(OR(E6&lt;=Assumptions!$B$7,Assumptions!$B$6="Option 2",Assumptions!$B$6="Both"),1,0)</f>
        <v/>
      </c>
      <c r="F13" s="57">
        <f>IF(OR(F6&lt;=Assumptions!$B$7,Assumptions!$B$6="Option 2",Assumptions!$B$6="Both"),1,0)</f>
        <v/>
      </c>
      <c r="G13" s="57">
        <f>IF(OR(G6&lt;=Assumptions!$B$7,Assumptions!$B$6="Option 2",Assumptions!$B$6="Both"),1,0)</f>
        <v/>
      </c>
      <c r="H13" s="57">
        <f>IF(OR(H6&lt;=Assumptions!$B$7,Assumptions!$B$6="Option 2",Assumptions!$B$6="Both"),1,0)</f>
        <v/>
      </c>
      <c r="I13" s="57">
        <f>IF(OR(I6&lt;=Assumptions!$B$7,Assumptions!$B$6="Option 2",Assumptions!$B$6="Both"),1,0)</f>
        <v/>
      </c>
      <c r="J13" s="57">
        <f>IF(OR(J6&lt;=Assumptions!$B$7,Assumptions!$B$6="Option 2",Assumptions!$B$6="Both"),1,0)</f>
        <v/>
      </c>
      <c r="K13" s="57">
        <f>IF(OR(K6&lt;=Assumptions!$B$7,Assumptions!$B$6="Option 2",Assumptions!$B$6="Both"),1,0)</f>
        <v/>
      </c>
      <c r="L13" s="57">
        <f>IF(OR(L6&lt;=Assumptions!$B$7,Assumptions!$B$6="Option 2",Assumptions!$B$6="Both"),1,0)</f>
        <v/>
      </c>
      <c r="M13" s="57">
        <f>IF(OR(M6&lt;=Assumptions!$B$7,Assumptions!$B$6="Option 2",Assumptions!$B$6="Both"),1,0)</f>
        <v/>
      </c>
      <c r="N13" s="57">
        <f>IF(OR(N6&lt;=Assumptions!$B$7,Assumptions!$B$6="Option 2",Assumptions!$B$6="Both"),1,0)</f>
        <v/>
      </c>
      <c r="O13" s="40" t="n"/>
      <c r="P13" s="40" t="n"/>
    </row>
    <row r="15" ht="18" customHeight="1">
      <c r="A15" s="4" t="inlineStr">
        <is>
          <t>A.  STAFF COSTS  —  DUBAI</t>
        </is>
      </c>
      <c r="B15" s="5" t="n"/>
      <c r="C15" s="5" t="n"/>
      <c r="D15" s="5" t="n"/>
      <c r="E15" s="5" t="n"/>
      <c r="F15" s="5" t="n"/>
      <c r="G15" s="5" t="n"/>
      <c r="H15" s="5" t="n"/>
      <c r="I15" s="5" t="n"/>
      <c r="J15" s="5" t="n"/>
      <c r="K15" s="5" t="n"/>
      <c r="L15" s="5" t="n"/>
      <c r="M15" s="5" t="n"/>
      <c r="N15" s="5" t="n"/>
      <c r="O15" s="5" t="n"/>
      <c r="P15" s="5" t="n"/>
    </row>
    <row r="16" ht="20" customHeight="1">
      <c r="A16" s="53" t="inlineStr">
        <is>
          <t>Directors' salary</t>
        </is>
      </c>
      <c r="B16" s="50" t="inlineStr">
        <is>
          <t>Per HJ — nil</t>
        </is>
      </c>
      <c r="C16" s="30">
        <f>Assumptions!$F$18</f>
        <v/>
      </c>
      <c r="D16" s="30">
        <f>Assumptions!$F$18</f>
        <v/>
      </c>
      <c r="E16" s="30">
        <f>Assumptions!$F$18</f>
        <v/>
      </c>
      <c r="F16" s="30">
        <f>Assumptions!$F$18</f>
        <v/>
      </c>
      <c r="G16" s="30">
        <f>Assumptions!$F$18</f>
        <v/>
      </c>
      <c r="H16" s="30">
        <f>Assumptions!$F$18</f>
        <v/>
      </c>
      <c r="I16" s="30">
        <f>Assumptions!$F$18</f>
        <v/>
      </c>
      <c r="J16" s="30">
        <f>Assumptions!$F$18</f>
        <v/>
      </c>
      <c r="K16" s="30">
        <f>Assumptions!$F$18</f>
        <v/>
      </c>
      <c r="L16" s="30">
        <f>Assumptions!$F$18</f>
        <v/>
      </c>
      <c r="M16" s="30">
        <f>Assumptions!$F$18</f>
        <v/>
      </c>
      <c r="N16" s="30">
        <f>Assumptions!$F$18</f>
        <v/>
      </c>
      <c r="O16" s="24">
        <f>SUM(C16:N16)</f>
        <v/>
      </c>
      <c r="P16" s="40" t="n"/>
    </row>
    <row r="17" ht="20" customHeight="1">
      <c r="A17" s="53" t="inlineStr">
        <is>
          <t>Operations &amp; service staff</t>
        </is>
      </c>
      <c r="B17" s="50" t="inlineStr">
        <is>
          <t>Per HJ — 1 x AED 3,000</t>
        </is>
      </c>
      <c r="C17" s="30">
        <f>Assumptions!$F$19*Assumptions!$F$20</f>
        <v/>
      </c>
      <c r="D17" s="30">
        <f>Assumptions!$F$19*Assumptions!$F$20</f>
        <v/>
      </c>
      <c r="E17" s="30">
        <f>Assumptions!$F$19*Assumptions!$F$20</f>
        <v/>
      </c>
      <c r="F17" s="30">
        <f>Assumptions!$F$19*Assumptions!$F$20</f>
        <v/>
      </c>
      <c r="G17" s="30">
        <f>Assumptions!$F$19*Assumptions!$F$20</f>
        <v/>
      </c>
      <c r="H17" s="30">
        <f>Assumptions!$F$19*Assumptions!$F$20</f>
        <v/>
      </c>
      <c r="I17" s="30">
        <f>Assumptions!$F$19*Assumptions!$F$20</f>
        <v/>
      </c>
      <c r="J17" s="30">
        <f>Assumptions!$F$19*Assumptions!$F$20</f>
        <v/>
      </c>
      <c r="K17" s="30">
        <f>Assumptions!$F$19*Assumptions!$F$20</f>
        <v/>
      </c>
      <c r="L17" s="30">
        <f>Assumptions!$F$19*Assumptions!$F$20</f>
        <v/>
      </c>
      <c r="M17" s="30">
        <f>Assumptions!$F$19*Assumptions!$F$20</f>
        <v/>
      </c>
      <c r="N17" s="30">
        <f>Assumptions!$F$19*Assumptions!$F$20</f>
        <v/>
      </c>
      <c r="O17" s="24">
        <f>SUM(C17:N17)</f>
        <v/>
      </c>
      <c r="P17" s="40" t="n"/>
    </row>
    <row r="18" ht="20" customHeight="1">
      <c r="A18" s="53" t="inlineStr">
        <is>
          <t>Staff visa, medical insurance &amp; EID (accrual)</t>
        </is>
      </c>
      <c r="B18" s="50" t="inlineStr">
        <is>
          <t>Per UAE employee</t>
        </is>
      </c>
      <c r="C18" s="30">
        <f>Assumptions!$F$19*Assumptions!$F$21</f>
        <v/>
      </c>
      <c r="D18" s="30">
        <f>Assumptions!$F$19*Assumptions!$F$21</f>
        <v/>
      </c>
      <c r="E18" s="30">
        <f>Assumptions!$F$19*Assumptions!$F$21</f>
        <v/>
      </c>
      <c r="F18" s="30">
        <f>Assumptions!$F$19*Assumptions!$F$21</f>
        <v/>
      </c>
      <c r="G18" s="30">
        <f>Assumptions!$F$19*Assumptions!$F$21</f>
        <v/>
      </c>
      <c r="H18" s="30">
        <f>Assumptions!$F$19*Assumptions!$F$21</f>
        <v/>
      </c>
      <c r="I18" s="30">
        <f>Assumptions!$F$19*Assumptions!$F$21</f>
        <v/>
      </c>
      <c r="J18" s="30">
        <f>Assumptions!$F$19*Assumptions!$F$21</f>
        <v/>
      </c>
      <c r="K18" s="30">
        <f>Assumptions!$F$19*Assumptions!$F$21</f>
        <v/>
      </c>
      <c r="L18" s="30">
        <f>Assumptions!$F$19*Assumptions!$F$21</f>
        <v/>
      </c>
      <c r="M18" s="30">
        <f>Assumptions!$F$19*Assumptions!$F$21</f>
        <v/>
      </c>
      <c r="N18" s="30">
        <f>Assumptions!$F$19*Assumptions!$F$21</f>
        <v/>
      </c>
      <c r="O18" s="24">
        <f>SUM(C18:N18)</f>
        <v/>
      </c>
      <c r="P18" s="40" t="n"/>
    </row>
    <row r="19" ht="20" customHeight="1">
      <c r="A19" s="53" t="inlineStr">
        <is>
          <t>End-of-service gratuity accrual</t>
        </is>
      </c>
      <c r="B19" s="50" t="inlineStr">
        <is>
          <t>5.8% of salary</t>
        </is>
      </c>
      <c r="C19" s="30">
        <f>C17*Assumptions!$F$22</f>
        <v/>
      </c>
      <c r="D19" s="30">
        <f>D17*Assumptions!$F$22</f>
        <v/>
      </c>
      <c r="E19" s="30">
        <f>E17*Assumptions!$F$22</f>
        <v/>
      </c>
      <c r="F19" s="30">
        <f>F17*Assumptions!$F$22</f>
        <v/>
      </c>
      <c r="G19" s="30">
        <f>G17*Assumptions!$F$22</f>
        <v/>
      </c>
      <c r="H19" s="30">
        <f>H17*Assumptions!$F$22</f>
        <v/>
      </c>
      <c r="I19" s="30">
        <f>I17*Assumptions!$F$22</f>
        <v/>
      </c>
      <c r="J19" s="30">
        <f>J17*Assumptions!$F$22</f>
        <v/>
      </c>
      <c r="K19" s="30">
        <f>K17*Assumptions!$F$22</f>
        <v/>
      </c>
      <c r="L19" s="30">
        <f>L17*Assumptions!$F$22</f>
        <v/>
      </c>
      <c r="M19" s="30">
        <f>M17*Assumptions!$F$22</f>
        <v/>
      </c>
      <c r="N19" s="30">
        <f>N17*Assumptions!$F$22</f>
        <v/>
      </c>
      <c r="O19" s="24">
        <f>SUM(C19:N19)</f>
        <v/>
      </c>
      <c r="P19" s="40" t="n"/>
    </row>
    <row r="20" ht="20" customHeight="1">
      <c r="A20" s="53" t="inlineStr">
        <is>
          <t>WPS / payroll processing</t>
        </is>
      </c>
      <c r="B20" s="50" t="inlineStr">
        <is>
          <t>Per employee</t>
        </is>
      </c>
      <c r="C20" s="30">
        <f>Assumptions!$F$19*Assumptions!$F$23</f>
        <v/>
      </c>
      <c r="D20" s="30">
        <f>Assumptions!$F$19*Assumptions!$F$23</f>
        <v/>
      </c>
      <c r="E20" s="30">
        <f>Assumptions!$F$19*Assumptions!$F$23</f>
        <v/>
      </c>
      <c r="F20" s="30">
        <f>Assumptions!$F$19*Assumptions!$F$23</f>
        <v/>
      </c>
      <c r="G20" s="30">
        <f>Assumptions!$F$19*Assumptions!$F$23</f>
        <v/>
      </c>
      <c r="H20" s="30">
        <f>Assumptions!$F$19*Assumptions!$F$23</f>
        <v/>
      </c>
      <c r="I20" s="30">
        <f>Assumptions!$F$19*Assumptions!$F$23</f>
        <v/>
      </c>
      <c r="J20" s="30">
        <f>Assumptions!$F$19*Assumptions!$F$23</f>
        <v/>
      </c>
      <c r="K20" s="30">
        <f>Assumptions!$F$19*Assumptions!$F$23</f>
        <v/>
      </c>
      <c r="L20" s="30">
        <f>Assumptions!$F$19*Assumptions!$F$23</f>
        <v/>
      </c>
      <c r="M20" s="30">
        <f>Assumptions!$F$19*Assumptions!$F$23</f>
        <v/>
      </c>
      <c r="N20" s="30">
        <f>Assumptions!$F$19*Assumptions!$F$23</f>
        <v/>
      </c>
      <c r="O20" s="24">
        <f>SUM(C20:N20)</f>
        <v/>
      </c>
      <c r="P20" s="40" t="n"/>
    </row>
    <row r="21">
      <c r="A21" s="58" t="inlineStr">
        <is>
          <t>TOTAL STAFF COSTS</t>
        </is>
      </c>
      <c r="B21" s="59" t="n"/>
      <c r="C21" s="60">
        <f>SUM(C16:C20)</f>
        <v/>
      </c>
      <c r="D21" s="60">
        <f>SUM(D16:D20)</f>
        <v/>
      </c>
      <c r="E21" s="60">
        <f>SUM(E16:E20)</f>
        <v/>
      </c>
      <c r="F21" s="60">
        <f>SUM(F16:F20)</f>
        <v/>
      </c>
      <c r="G21" s="60">
        <f>SUM(G16:G20)</f>
        <v/>
      </c>
      <c r="H21" s="60">
        <f>SUM(H16:H20)</f>
        <v/>
      </c>
      <c r="I21" s="60">
        <f>SUM(I16:I20)</f>
        <v/>
      </c>
      <c r="J21" s="60">
        <f>SUM(J16:J20)</f>
        <v/>
      </c>
      <c r="K21" s="60">
        <f>SUM(K16:K20)</f>
        <v/>
      </c>
      <c r="L21" s="60">
        <f>SUM(L16:L20)</f>
        <v/>
      </c>
      <c r="M21" s="60">
        <f>SUM(M16:M20)</f>
        <v/>
      </c>
      <c r="N21" s="60">
        <f>SUM(N16:N20)</f>
        <v/>
      </c>
      <c r="O21" s="60">
        <f>SUM(C21:N21)</f>
        <v/>
      </c>
      <c r="P21" s="61">
        <f>IF($O$86=0,0,$O21/$O$86)</f>
        <v/>
      </c>
    </row>
    <row r="23" ht="18" customHeight="1">
      <c r="A23" s="4" t="inlineStr">
        <is>
          <t>B.  MARKETING  —  OPTION 1: FULLY ONLINE  (switches off after M2 unless adopted)</t>
        </is>
      </c>
      <c r="B23" s="5" t="n"/>
      <c r="C23" s="5" t="n"/>
      <c r="D23" s="5" t="n"/>
      <c r="E23" s="5" t="n"/>
      <c r="F23" s="5" t="n"/>
      <c r="G23" s="5" t="n"/>
      <c r="H23" s="5" t="n"/>
      <c r="I23" s="5" t="n"/>
      <c r="J23" s="5" t="n"/>
      <c r="K23" s="5" t="n"/>
      <c r="L23" s="5" t="n"/>
      <c r="M23" s="5" t="n"/>
      <c r="N23" s="5" t="n"/>
      <c r="O23" s="5" t="n"/>
      <c r="P23" s="5" t="n"/>
    </row>
    <row r="24" ht="20" customHeight="1">
      <c r="A24" s="53" t="inlineStr">
        <is>
          <t>Option 1 — team cost</t>
        </is>
      </c>
      <c r="B24" s="50" t="inlineStr">
        <is>
          <t>Headcount x rate</t>
        </is>
      </c>
      <c r="C24" s="62">
        <f>C12*Assumptions!$F$25*Assumptions!$F$26</f>
        <v/>
      </c>
      <c r="D24" s="62">
        <f>D12*Assumptions!$F$25*Assumptions!$F$26</f>
        <v/>
      </c>
      <c r="E24" s="62">
        <f>E12*Assumptions!$F$25*Assumptions!$F$26</f>
        <v/>
      </c>
      <c r="F24" s="62">
        <f>F12*Assumptions!$F$25*Assumptions!$F$26</f>
        <v/>
      </c>
      <c r="G24" s="62">
        <f>G12*Assumptions!$F$25*Assumptions!$F$26</f>
        <v/>
      </c>
      <c r="H24" s="62">
        <f>H12*Assumptions!$F$25*Assumptions!$F$26</f>
        <v/>
      </c>
      <c r="I24" s="62">
        <f>I12*Assumptions!$F$25*Assumptions!$F$26</f>
        <v/>
      </c>
      <c r="J24" s="62">
        <f>J12*Assumptions!$F$25*Assumptions!$F$26</f>
        <v/>
      </c>
      <c r="K24" s="62">
        <f>K12*Assumptions!$F$25*Assumptions!$F$26</f>
        <v/>
      </c>
      <c r="L24" s="62">
        <f>L12*Assumptions!$F$25*Assumptions!$F$26</f>
        <v/>
      </c>
      <c r="M24" s="62">
        <f>M12*Assumptions!$F$25*Assumptions!$F$26</f>
        <v/>
      </c>
      <c r="N24" s="62">
        <f>N12*Assumptions!$F$25*Assumptions!$F$26</f>
        <v/>
      </c>
      <c r="O24" s="24">
        <f>SUM(C24:N24)</f>
        <v/>
      </c>
      <c r="P24" s="40" t="n"/>
    </row>
    <row r="25" ht="20" customHeight="1">
      <c r="A25" s="53" t="inlineStr">
        <is>
          <t>Option 1 — digital ads &amp; lead generation</t>
        </is>
      </c>
      <c r="B25" s="50" t="inlineStr"/>
      <c r="C25" s="62">
        <f>C12*Assumptions!$F$27</f>
        <v/>
      </c>
      <c r="D25" s="62">
        <f>D12*Assumptions!$F$27</f>
        <v/>
      </c>
      <c r="E25" s="62">
        <f>E12*Assumptions!$F$27</f>
        <v/>
      </c>
      <c r="F25" s="62">
        <f>F12*Assumptions!$F$27</f>
        <v/>
      </c>
      <c r="G25" s="62">
        <f>G12*Assumptions!$F$27</f>
        <v/>
      </c>
      <c r="H25" s="62">
        <f>H12*Assumptions!$F$27</f>
        <v/>
      </c>
      <c r="I25" s="62">
        <f>I12*Assumptions!$F$27</f>
        <v/>
      </c>
      <c r="J25" s="62">
        <f>J12*Assumptions!$F$27</f>
        <v/>
      </c>
      <c r="K25" s="62">
        <f>K12*Assumptions!$F$27</f>
        <v/>
      </c>
      <c r="L25" s="62">
        <f>L12*Assumptions!$F$27</f>
        <v/>
      </c>
      <c r="M25" s="62">
        <f>M12*Assumptions!$F$27</f>
        <v/>
      </c>
      <c r="N25" s="62">
        <f>N12*Assumptions!$F$27</f>
        <v/>
      </c>
      <c r="O25" s="24">
        <f>SUM(C25:N25)</f>
        <v/>
      </c>
      <c r="P25" s="40" t="n"/>
    </row>
    <row r="26" ht="20" customHeight="1">
      <c r="A26" s="53" t="inlineStr">
        <is>
          <t>Option 1 — outreach tooling &amp; CRM</t>
        </is>
      </c>
      <c r="B26" s="50" t="inlineStr"/>
      <c r="C26" s="62">
        <f>C12*Assumptions!$F$28</f>
        <v/>
      </c>
      <c r="D26" s="62">
        <f>D12*Assumptions!$F$28</f>
        <v/>
      </c>
      <c r="E26" s="62">
        <f>E12*Assumptions!$F$28</f>
        <v/>
      </c>
      <c r="F26" s="62">
        <f>F12*Assumptions!$F$28</f>
        <v/>
      </c>
      <c r="G26" s="62">
        <f>G12*Assumptions!$F$28</f>
        <v/>
      </c>
      <c r="H26" s="62">
        <f>H12*Assumptions!$F$28</f>
        <v/>
      </c>
      <c r="I26" s="62">
        <f>I12*Assumptions!$F$28</f>
        <v/>
      </c>
      <c r="J26" s="62">
        <f>J12*Assumptions!$F$28</f>
        <v/>
      </c>
      <c r="K26" s="62">
        <f>K12*Assumptions!$F$28</f>
        <v/>
      </c>
      <c r="L26" s="62">
        <f>L12*Assumptions!$F$28</f>
        <v/>
      </c>
      <c r="M26" s="62">
        <f>M12*Assumptions!$F$28</f>
        <v/>
      </c>
      <c r="N26" s="62">
        <f>N12*Assumptions!$F$28</f>
        <v/>
      </c>
      <c r="O26" s="24">
        <f>SUM(C26:N26)</f>
        <v/>
      </c>
      <c r="P26" s="40" t="n"/>
    </row>
    <row r="27" ht="20" customHeight="1">
      <c r="A27" s="53" t="inlineStr">
        <is>
          <t>Option 1 — coordination &amp; QA</t>
        </is>
      </c>
      <c r="B27" s="50" t="inlineStr"/>
      <c r="C27" s="62">
        <f>C12*Assumptions!$F$29</f>
        <v/>
      </c>
      <c r="D27" s="62">
        <f>D12*Assumptions!$F$29</f>
        <v/>
      </c>
      <c r="E27" s="62">
        <f>E12*Assumptions!$F$29</f>
        <v/>
      </c>
      <c r="F27" s="62">
        <f>F12*Assumptions!$F$29</f>
        <v/>
      </c>
      <c r="G27" s="62">
        <f>G12*Assumptions!$F$29</f>
        <v/>
      </c>
      <c r="H27" s="62">
        <f>H12*Assumptions!$F$29</f>
        <v/>
      </c>
      <c r="I27" s="62">
        <f>I12*Assumptions!$F$29</f>
        <v/>
      </c>
      <c r="J27" s="62">
        <f>J12*Assumptions!$F$29</f>
        <v/>
      </c>
      <c r="K27" s="62">
        <f>K12*Assumptions!$F$29</f>
        <v/>
      </c>
      <c r="L27" s="62">
        <f>L12*Assumptions!$F$29</f>
        <v/>
      </c>
      <c r="M27" s="62">
        <f>M12*Assumptions!$F$29</f>
        <v/>
      </c>
      <c r="N27" s="62">
        <f>N12*Assumptions!$F$29</f>
        <v/>
      </c>
      <c r="O27" s="24">
        <f>SUM(C27:N27)</f>
        <v/>
      </c>
      <c r="P27" s="40" t="n"/>
    </row>
    <row r="28">
      <c r="A28" s="58" t="inlineStr">
        <is>
          <t>TOTAL — MARKETING OPTION 1</t>
        </is>
      </c>
      <c r="B28" s="59" t="n"/>
      <c r="C28" s="60">
        <f>SUM(C24:C27)</f>
        <v/>
      </c>
      <c r="D28" s="60">
        <f>SUM(D24:D27)</f>
        <v/>
      </c>
      <c r="E28" s="60">
        <f>SUM(E24:E27)</f>
        <v/>
      </c>
      <c r="F28" s="60">
        <f>SUM(F24:F27)</f>
        <v/>
      </c>
      <c r="G28" s="60">
        <f>SUM(G24:G27)</f>
        <v/>
      </c>
      <c r="H28" s="60">
        <f>SUM(H24:H27)</f>
        <v/>
      </c>
      <c r="I28" s="60">
        <f>SUM(I24:I27)</f>
        <v/>
      </c>
      <c r="J28" s="60">
        <f>SUM(J24:J27)</f>
        <v/>
      </c>
      <c r="K28" s="60">
        <f>SUM(K24:K27)</f>
        <v/>
      </c>
      <c r="L28" s="60">
        <f>SUM(L24:L27)</f>
        <v/>
      </c>
      <c r="M28" s="60">
        <f>SUM(M24:M27)</f>
        <v/>
      </c>
      <c r="N28" s="60">
        <f>SUM(N24:N27)</f>
        <v/>
      </c>
      <c r="O28" s="60">
        <f>SUM(C28:N28)</f>
        <v/>
      </c>
      <c r="P28" s="61">
        <f>IF($O$86=0,0,$O28/$O$86)</f>
        <v/>
      </c>
    </row>
    <row r="30" ht="18" customHeight="1">
      <c r="A30" s="4" t="inlineStr">
        <is>
          <t>C.  MARKETING  —  OPTION 2: REMOTE OFFICE OUTSIDE UAE  (switches off after M2 unless adopted)</t>
        </is>
      </c>
      <c r="B30" s="5" t="n"/>
      <c r="C30" s="5" t="n"/>
      <c r="D30" s="5" t="n"/>
      <c r="E30" s="5" t="n"/>
      <c r="F30" s="5" t="n"/>
      <c r="G30" s="5" t="n"/>
      <c r="H30" s="5" t="n"/>
      <c r="I30" s="5" t="n"/>
      <c r="J30" s="5" t="n"/>
      <c r="K30" s="5" t="n"/>
      <c r="L30" s="5" t="n"/>
      <c r="M30" s="5" t="n"/>
      <c r="N30" s="5" t="n"/>
      <c r="O30" s="5" t="n"/>
      <c r="P30" s="5" t="n"/>
    </row>
    <row r="31" ht="20" customHeight="1">
      <c r="A31" s="53" t="inlineStr">
        <is>
          <t>Option 2 — team cost</t>
        </is>
      </c>
      <c r="B31" s="50" t="inlineStr">
        <is>
          <t>Headcount x rate</t>
        </is>
      </c>
      <c r="C31" s="63">
        <f>C13*Assumptions!$F$31*Assumptions!$F$32</f>
        <v/>
      </c>
      <c r="D31" s="63">
        <f>D13*Assumptions!$F$31*Assumptions!$F$32</f>
        <v/>
      </c>
      <c r="E31" s="63">
        <f>E13*Assumptions!$F$31*Assumptions!$F$32</f>
        <v/>
      </c>
      <c r="F31" s="63">
        <f>F13*Assumptions!$F$31*Assumptions!$F$32</f>
        <v/>
      </c>
      <c r="G31" s="63">
        <f>G13*Assumptions!$F$31*Assumptions!$F$32</f>
        <v/>
      </c>
      <c r="H31" s="63">
        <f>H13*Assumptions!$F$31*Assumptions!$F$32</f>
        <v/>
      </c>
      <c r="I31" s="63">
        <f>I13*Assumptions!$F$31*Assumptions!$F$32</f>
        <v/>
      </c>
      <c r="J31" s="63">
        <f>J13*Assumptions!$F$31*Assumptions!$F$32</f>
        <v/>
      </c>
      <c r="K31" s="63">
        <f>K13*Assumptions!$F$31*Assumptions!$F$32</f>
        <v/>
      </c>
      <c r="L31" s="63">
        <f>L13*Assumptions!$F$31*Assumptions!$F$32</f>
        <v/>
      </c>
      <c r="M31" s="63">
        <f>M13*Assumptions!$F$31*Assumptions!$F$32</f>
        <v/>
      </c>
      <c r="N31" s="63">
        <f>N13*Assumptions!$F$31*Assumptions!$F$32</f>
        <v/>
      </c>
      <c r="O31" s="24">
        <f>SUM(C31:N31)</f>
        <v/>
      </c>
      <c r="P31" s="40" t="n"/>
    </row>
    <row r="32" ht="20" customHeight="1">
      <c r="A32" s="53" t="inlineStr">
        <is>
          <t>Option 2 — coworking area rent</t>
        </is>
      </c>
      <c r="B32" s="50" t="inlineStr">
        <is>
          <t>Per HJ</t>
        </is>
      </c>
      <c r="C32" s="63">
        <f>C13*Assumptions!$F$33</f>
        <v/>
      </c>
      <c r="D32" s="63">
        <f>D13*Assumptions!$F$33</f>
        <v/>
      </c>
      <c r="E32" s="63">
        <f>E13*Assumptions!$F$33</f>
        <v/>
      </c>
      <c r="F32" s="63">
        <f>F13*Assumptions!$F$33</f>
        <v/>
      </c>
      <c r="G32" s="63">
        <f>G13*Assumptions!$F$33</f>
        <v/>
      </c>
      <c r="H32" s="63">
        <f>H13*Assumptions!$F$33</f>
        <v/>
      </c>
      <c r="I32" s="63">
        <f>I13*Assumptions!$F$33</f>
        <v/>
      </c>
      <c r="J32" s="63">
        <f>J13*Assumptions!$F$33</f>
        <v/>
      </c>
      <c r="K32" s="63">
        <f>K13*Assumptions!$F$33</f>
        <v/>
      </c>
      <c r="L32" s="63">
        <f>L13*Assumptions!$F$33</f>
        <v/>
      </c>
      <c r="M32" s="63">
        <f>M13*Assumptions!$F$33</f>
        <v/>
      </c>
      <c r="N32" s="63">
        <f>N13*Assumptions!$F$33</f>
        <v/>
      </c>
      <c r="O32" s="24">
        <f>SUM(C32:N32)</f>
        <v/>
      </c>
      <c r="P32" s="40" t="n"/>
    </row>
    <row r="33" ht="20" customHeight="1">
      <c r="A33" s="53" t="inlineStr">
        <is>
          <t>Option 2 — local internet, utilities &amp; equipment</t>
        </is>
      </c>
      <c r="B33" s="50" t="inlineStr">
        <is>
          <t>Added by Claude</t>
        </is>
      </c>
      <c r="C33" s="63">
        <f>C13*Assumptions!$F$34</f>
        <v/>
      </c>
      <c r="D33" s="63">
        <f>D13*Assumptions!$F$34</f>
        <v/>
      </c>
      <c r="E33" s="63">
        <f>E13*Assumptions!$F$34</f>
        <v/>
      </c>
      <c r="F33" s="63">
        <f>F13*Assumptions!$F$34</f>
        <v/>
      </c>
      <c r="G33" s="63">
        <f>G13*Assumptions!$F$34</f>
        <v/>
      </c>
      <c r="H33" s="63">
        <f>H13*Assumptions!$F$34</f>
        <v/>
      </c>
      <c r="I33" s="63">
        <f>I13*Assumptions!$F$34</f>
        <v/>
      </c>
      <c r="J33" s="63">
        <f>J13*Assumptions!$F$34</f>
        <v/>
      </c>
      <c r="K33" s="63">
        <f>K13*Assumptions!$F$34</f>
        <v/>
      </c>
      <c r="L33" s="63">
        <f>L13*Assumptions!$F$34</f>
        <v/>
      </c>
      <c r="M33" s="63">
        <f>M13*Assumptions!$F$34</f>
        <v/>
      </c>
      <c r="N33" s="63">
        <f>N13*Assumptions!$F$34</f>
        <v/>
      </c>
      <c r="O33" s="24">
        <f>SUM(C33:N33)</f>
        <v/>
      </c>
      <c r="P33" s="40" t="n"/>
    </row>
    <row r="34" ht="20" customHeight="1">
      <c r="A34" s="53" t="inlineStr">
        <is>
          <t>Option 2 — on-site supervisor / team lead</t>
        </is>
      </c>
      <c r="B34" s="50" t="inlineStr">
        <is>
          <t>Added by Claude</t>
        </is>
      </c>
      <c r="C34" s="63">
        <f>C13*Assumptions!$F$35</f>
        <v/>
      </c>
      <c r="D34" s="63">
        <f>D13*Assumptions!$F$35</f>
        <v/>
      </c>
      <c r="E34" s="63">
        <f>E13*Assumptions!$F$35</f>
        <v/>
      </c>
      <c r="F34" s="63">
        <f>F13*Assumptions!$F$35</f>
        <v/>
      </c>
      <c r="G34" s="63">
        <f>G13*Assumptions!$F$35</f>
        <v/>
      </c>
      <c r="H34" s="63">
        <f>H13*Assumptions!$F$35</f>
        <v/>
      </c>
      <c r="I34" s="63">
        <f>I13*Assumptions!$F$35</f>
        <v/>
      </c>
      <c r="J34" s="63">
        <f>J13*Assumptions!$F$35</f>
        <v/>
      </c>
      <c r="K34" s="63">
        <f>K13*Assumptions!$F$35</f>
        <v/>
      </c>
      <c r="L34" s="63">
        <f>L13*Assumptions!$F$35</f>
        <v/>
      </c>
      <c r="M34" s="63">
        <f>M13*Assumptions!$F$35</f>
        <v/>
      </c>
      <c r="N34" s="63">
        <f>N13*Assumptions!$F$35</f>
        <v/>
      </c>
      <c r="O34" s="24">
        <f>SUM(C34:N34)</f>
        <v/>
      </c>
      <c r="P34" s="40" t="n"/>
    </row>
    <row r="35" ht="20" customHeight="1">
      <c r="A35" s="53" t="inlineStr">
        <is>
          <t>Option 2 — digital ads &amp; lead generation</t>
        </is>
      </c>
      <c r="B35" s="50" t="inlineStr"/>
      <c r="C35" s="63">
        <f>C13*Assumptions!$F$36</f>
        <v/>
      </c>
      <c r="D35" s="63">
        <f>D13*Assumptions!$F$36</f>
        <v/>
      </c>
      <c r="E35" s="63">
        <f>E13*Assumptions!$F$36</f>
        <v/>
      </c>
      <c r="F35" s="63">
        <f>F13*Assumptions!$F$36</f>
        <v/>
      </c>
      <c r="G35" s="63">
        <f>G13*Assumptions!$F$36</f>
        <v/>
      </c>
      <c r="H35" s="63">
        <f>H13*Assumptions!$F$36</f>
        <v/>
      </c>
      <c r="I35" s="63">
        <f>I13*Assumptions!$F$36</f>
        <v/>
      </c>
      <c r="J35" s="63">
        <f>J13*Assumptions!$F$36</f>
        <v/>
      </c>
      <c r="K35" s="63">
        <f>K13*Assumptions!$F$36</f>
        <v/>
      </c>
      <c r="L35" s="63">
        <f>L13*Assumptions!$F$36</f>
        <v/>
      </c>
      <c r="M35" s="63">
        <f>M13*Assumptions!$F$36</f>
        <v/>
      </c>
      <c r="N35" s="63">
        <f>N13*Assumptions!$F$36</f>
        <v/>
      </c>
      <c r="O35" s="24">
        <f>SUM(C35:N35)</f>
        <v/>
      </c>
      <c r="P35" s="40" t="n"/>
    </row>
    <row r="36" ht="20" customHeight="1">
      <c r="A36" s="53" t="inlineStr">
        <is>
          <t>Option 2 — offshore contracting / compliance</t>
        </is>
      </c>
      <c r="B36" s="50" t="inlineStr">
        <is>
          <t>Added by Claude</t>
        </is>
      </c>
      <c r="C36" s="63">
        <f>C13*Assumptions!$F$37</f>
        <v/>
      </c>
      <c r="D36" s="63">
        <f>D13*Assumptions!$F$37</f>
        <v/>
      </c>
      <c r="E36" s="63">
        <f>E13*Assumptions!$F$37</f>
        <v/>
      </c>
      <c r="F36" s="63">
        <f>F13*Assumptions!$F$37</f>
        <v/>
      </c>
      <c r="G36" s="63">
        <f>G13*Assumptions!$F$37</f>
        <v/>
      </c>
      <c r="H36" s="63">
        <f>H13*Assumptions!$F$37</f>
        <v/>
      </c>
      <c r="I36" s="63">
        <f>I13*Assumptions!$F$37</f>
        <v/>
      </c>
      <c r="J36" s="63">
        <f>J13*Assumptions!$F$37</f>
        <v/>
      </c>
      <c r="K36" s="63">
        <f>K13*Assumptions!$F$37</f>
        <v/>
      </c>
      <c r="L36" s="63">
        <f>L13*Assumptions!$F$37</f>
        <v/>
      </c>
      <c r="M36" s="63">
        <f>M13*Assumptions!$F$37</f>
        <v/>
      </c>
      <c r="N36" s="63">
        <f>N13*Assumptions!$F$37</f>
        <v/>
      </c>
      <c r="O36" s="24">
        <f>SUM(C36:N36)</f>
        <v/>
      </c>
      <c r="P36" s="40" t="n"/>
    </row>
    <row r="37">
      <c r="A37" s="58" t="inlineStr">
        <is>
          <t>TOTAL — MARKETING OPTION 2</t>
        </is>
      </c>
      <c r="B37" s="59" t="n"/>
      <c r="C37" s="60">
        <f>SUM(C31:C36)</f>
        <v/>
      </c>
      <c r="D37" s="60">
        <f>SUM(D31:D36)</f>
        <v/>
      </c>
      <c r="E37" s="60">
        <f>SUM(E31:E36)</f>
        <v/>
      </c>
      <c r="F37" s="60">
        <f>SUM(F31:F36)</f>
        <v/>
      </c>
      <c r="G37" s="60">
        <f>SUM(G31:G36)</f>
        <v/>
      </c>
      <c r="H37" s="60">
        <f>SUM(H31:H36)</f>
        <v/>
      </c>
      <c r="I37" s="60">
        <f>SUM(I31:I36)</f>
        <v/>
      </c>
      <c r="J37" s="60">
        <f>SUM(J31:J36)</f>
        <v/>
      </c>
      <c r="K37" s="60">
        <f>SUM(K31:K36)</f>
        <v/>
      </c>
      <c r="L37" s="60">
        <f>SUM(L31:L36)</f>
        <v/>
      </c>
      <c r="M37" s="60">
        <f>SUM(M31:M36)</f>
        <v/>
      </c>
      <c r="N37" s="60">
        <f>SUM(N31:N36)</f>
        <v/>
      </c>
      <c r="O37" s="60">
        <f>SUM(C37:N37)</f>
        <v/>
      </c>
      <c r="P37" s="61">
        <f>IF($O$86=0,0,$O37/$O$86)</f>
        <v/>
      </c>
    </row>
    <row r="39" ht="18" customHeight="1">
      <c r="A39" s="4" t="inlineStr">
        <is>
          <t>D.  UNIT-ACQUISITION COMMISSION  —  the 2% per HJ, ongoing</t>
        </is>
      </c>
      <c r="B39" s="5" t="n"/>
      <c r="C39" s="5" t="n"/>
      <c r="D39" s="5" t="n"/>
      <c r="E39" s="5" t="n"/>
      <c r="F39" s="5" t="n"/>
      <c r="G39" s="5" t="n"/>
      <c r="H39" s="5" t="n"/>
      <c r="I39" s="5" t="n"/>
      <c r="J39" s="5" t="n"/>
      <c r="K39" s="5" t="n"/>
      <c r="L39" s="5" t="n"/>
      <c r="M39" s="5" t="n"/>
      <c r="N39" s="5" t="n"/>
      <c r="O39" s="5" t="n"/>
      <c r="P39" s="5" t="n"/>
    </row>
    <row r="40" ht="20" customHeight="1">
      <c r="A40" s="53" t="inlineStr">
        <is>
          <t>Trailing commission on signed units (2%)</t>
        </is>
      </c>
      <c r="B40" s="50" t="inlineStr">
        <is>
          <t>2% of live units' revenue, every month</t>
        </is>
      </c>
      <c r="C40" s="30">
        <f>IF(Assumptions!$F$40=1,C10,C11)*Assumptions!$F$39</f>
        <v/>
      </c>
      <c r="D40" s="30">
        <f>IF(Assumptions!$F$40=1,D10,D11)*Assumptions!$F$39</f>
        <v/>
      </c>
      <c r="E40" s="30">
        <f>IF(Assumptions!$F$40=1,E10,E11)*Assumptions!$F$39</f>
        <v/>
      </c>
      <c r="F40" s="30">
        <f>IF(Assumptions!$F$40=1,F10,F11)*Assumptions!$F$39</f>
        <v/>
      </c>
      <c r="G40" s="30">
        <f>IF(Assumptions!$F$40=1,G10,G11)*Assumptions!$F$39</f>
        <v/>
      </c>
      <c r="H40" s="30">
        <f>IF(Assumptions!$F$40=1,H10,H11)*Assumptions!$F$39</f>
        <v/>
      </c>
      <c r="I40" s="30">
        <f>IF(Assumptions!$F$40=1,I10,I11)*Assumptions!$F$39</f>
        <v/>
      </c>
      <c r="J40" s="30">
        <f>IF(Assumptions!$F$40=1,J10,J11)*Assumptions!$F$39</f>
        <v/>
      </c>
      <c r="K40" s="30">
        <f>IF(Assumptions!$F$40=1,K10,K11)*Assumptions!$F$39</f>
        <v/>
      </c>
      <c r="L40" s="30">
        <f>IF(Assumptions!$F$40=1,L10,L11)*Assumptions!$F$39</f>
        <v/>
      </c>
      <c r="M40" s="30">
        <f>IF(Assumptions!$F$40=1,M10,M11)*Assumptions!$F$39</f>
        <v/>
      </c>
      <c r="N40" s="30">
        <f>IF(Assumptions!$F$40=1,N10,N11)*Assumptions!$F$39</f>
        <v/>
      </c>
      <c r="O40" s="24">
        <f>SUM(C40:N40)</f>
        <v/>
      </c>
      <c r="P40" s="40" t="n"/>
    </row>
    <row r="41">
      <c r="A41" s="58" t="inlineStr">
        <is>
          <t>TOTAL COMMISSION</t>
        </is>
      </c>
      <c r="B41" s="59" t="n"/>
      <c r="C41" s="60">
        <f>SUM(C40:C40)</f>
        <v/>
      </c>
      <c r="D41" s="60">
        <f>SUM(D40:D40)</f>
        <v/>
      </c>
      <c r="E41" s="60">
        <f>SUM(E40:E40)</f>
        <v/>
      </c>
      <c r="F41" s="60">
        <f>SUM(F40:F40)</f>
        <v/>
      </c>
      <c r="G41" s="60">
        <f>SUM(G40:G40)</f>
        <v/>
      </c>
      <c r="H41" s="60">
        <f>SUM(H40:H40)</f>
        <v/>
      </c>
      <c r="I41" s="60">
        <f>SUM(I40:I40)</f>
        <v/>
      </c>
      <c r="J41" s="60">
        <f>SUM(J40:J40)</f>
        <v/>
      </c>
      <c r="K41" s="60">
        <f>SUM(K40:K40)</f>
        <v/>
      </c>
      <c r="L41" s="60">
        <f>SUM(L40:L40)</f>
        <v/>
      </c>
      <c r="M41" s="60">
        <f>SUM(M40:M40)</f>
        <v/>
      </c>
      <c r="N41" s="60">
        <f>SUM(N40:N40)</f>
        <v/>
      </c>
      <c r="O41" s="60">
        <f>SUM(C41:N41)</f>
        <v/>
      </c>
      <c r="P41" s="61">
        <f>IF($O$86=0,0,$O41/$O$86)</f>
        <v/>
      </c>
    </row>
    <row r="43" ht="18" customHeight="1">
      <c r="A43" s="4" t="inlineStr">
        <is>
          <t>E.  TECHNOLOGY, PLATFORM &amp; AI</t>
        </is>
      </c>
      <c r="B43" s="5" t="n"/>
      <c r="C43" s="5" t="n"/>
      <c r="D43" s="5" t="n"/>
      <c r="E43" s="5" t="n"/>
      <c r="F43" s="5" t="n"/>
      <c r="G43" s="5" t="n"/>
      <c r="H43" s="5" t="n"/>
      <c r="I43" s="5" t="n"/>
      <c r="J43" s="5" t="n"/>
      <c r="K43" s="5" t="n"/>
      <c r="L43" s="5" t="n"/>
      <c r="M43" s="5" t="n"/>
      <c r="N43" s="5" t="n"/>
      <c r="O43" s="5" t="n"/>
      <c r="P43" s="5" t="n"/>
    </row>
    <row r="44" ht="20" customHeight="1">
      <c r="A44" s="53" t="inlineStr">
        <is>
          <t>PMS / channel manager licence</t>
        </is>
      </c>
      <c r="B44" s="50" t="inlineStr">
        <is>
          <t>Per live unit</t>
        </is>
      </c>
      <c r="C44" s="30">
        <f>C9*Assumptions!$F$42</f>
        <v/>
      </c>
      <c r="D44" s="30">
        <f>D9*Assumptions!$F$42</f>
        <v/>
      </c>
      <c r="E44" s="30">
        <f>E9*Assumptions!$F$42</f>
        <v/>
      </c>
      <c r="F44" s="30">
        <f>F9*Assumptions!$F$42</f>
        <v/>
      </c>
      <c r="G44" s="30">
        <f>G9*Assumptions!$F$42</f>
        <v/>
      </c>
      <c r="H44" s="30">
        <f>H9*Assumptions!$F$42</f>
        <v/>
      </c>
      <c r="I44" s="30">
        <f>I9*Assumptions!$F$42</f>
        <v/>
      </c>
      <c r="J44" s="30">
        <f>J9*Assumptions!$F$42</f>
        <v/>
      </c>
      <c r="K44" s="30">
        <f>K9*Assumptions!$F$42</f>
        <v/>
      </c>
      <c r="L44" s="30">
        <f>L9*Assumptions!$F$42</f>
        <v/>
      </c>
      <c r="M44" s="30">
        <f>M9*Assumptions!$F$42</f>
        <v/>
      </c>
      <c r="N44" s="30">
        <f>N9*Assumptions!$F$42</f>
        <v/>
      </c>
      <c r="O44" s="24">
        <f>SUM(C44:N44)</f>
        <v/>
      </c>
      <c r="P44" s="40" t="n"/>
    </row>
    <row r="45" ht="20" customHeight="1">
      <c r="A45" s="53" t="inlineStr">
        <is>
          <t>Dynamic pricing tool</t>
        </is>
      </c>
      <c r="B45" s="50" t="inlineStr">
        <is>
          <t>Per live unit</t>
        </is>
      </c>
      <c r="C45" s="30">
        <f>C9*Assumptions!$F$43</f>
        <v/>
      </c>
      <c r="D45" s="30">
        <f>D9*Assumptions!$F$43</f>
        <v/>
      </c>
      <c r="E45" s="30">
        <f>E9*Assumptions!$F$43</f>
        <v/>
      </c>
      <c r="F45" s="30">
        <f>F9*Assumptions!$F$43</f>
        <v/>
      </c>
      <c r="G45" s="30">
        <f>G9*Assumptions!$F$43</f>
        <v/>
      </c>
      <c r="H45" s="30">
        <f>H9*Assumptions!$F$43</f>
        <v/>
      </c>
      <c r="I45" s="30">
        <f>I9*Assumptions!$F$43</f>
        <v/>
      </c>
      <c r="J45" s="30">
        <f>J9*Assumptions!$F$43</f>
        <v/>
      </c>
      <c r="K45" s="30">
        <f>K9*Assumptions!$F$43</f>
        <v/>
      </c>
      <c r="L45" s="30">
        <f>L9*Assumptions!$F$43</f>
        <v/>
      </c>
      <c r="M45" s="30">
        <f>M9*Assumptions!$F$43</f>
        <v/>
      </c>
      <c r="N45" s="30">
        <f>N9*Assumptions!$F$43</f>
        <v/>
      </c>
      <c r="O45" s="24">
        <f>SUM(C45:N45)</f>
        <v/>
      </c>
      <c r="P45" s="40" t="n"/>
    </row>
    <row r="46" ht="20" customHeight="1">
      <c r="A46" s="53" t="inlineStr">
        <is>
          <t>Smart-lock / access platform</t>
        </is>
      </c>
      <c r="B46" s="50" t="inlineStr">
        <is>
          <t>Per live unit</t>
        </is>
      </c>
      <c r="C46" s="30">
        <f>C9*Assumptions!$F$44</f>
        <v/>
      </c>
      <c r="D46" s="30">
        <f>D9*Assumptions!$F$44</f>
        <v/>
      </c>
      <c r="E46" s="30">
        <f>E9*Assumptions!$F$44</f>
        <v/>
      </c>
      <c r="F46" s="30">
        <f>F9*Assumptions!$F$44</f>
        <v/>
      </c>
      <c r="G46" s="30">
        <f>G9*Assumptions!$F$44</f>
        <v/>
      </c>
      <c r="H46" s="30">
        <f>H9*Assumptions!$F$44</f>
        <v/>
      </c>
      <c r="I46" s="30">
        <f>I9*Assumptions!$F$44</f>
        <v/>
      </c>
      <c r="J46" s="30">
        <f>J9*Assumptions!$F$44</f>
        <v/>
      </c>
      <c r="K46" s="30">
        <f>K9*Assumptions!$F$44</f>
        <v/>
      </c>
      <c r="L46" s="30">
        <f>L9*Assumptions!$F$44</f>
        <v/>
      </c>
      <c r="M46" s="30">
        <f>M9*Assumptions!$F$44</f>
        <v/>
      </c>
      <c r="N46" s="30">
        <f>N9*Assumptions!$F$44</f>
        <v/>
      </c>
      <c r="O46" s="24">
        <f>SUM(C46:N46)</f>
        <v/>
      </c>
      <c r="P46" s="40" t="n"/>
    </row>
    <row r="47" ht="20" customHeight="1">
      <c r="A47" s="53" t="inlineStr">
        <is>
          <t>AI subscriptions</t>
        </is>
      </c>
      <c r="B47" s="50" t="inlineStr">
        <is>
          <t>Per HJ — see 'AI Subscriptions' tab</t>
        </is>
      </c>
      <c r="C47" s="64">
        <f>Assumptions!$F$45</f>
        <v/>
      </c>
      <c r="D47" s="64">
        <f>Assumptions!$F$45</f>
        <v/>
      </c>
      <c r="E47" s="64">
        <f>Assumptions!$F$45</f>
        <v/>
      </c>
      <c r="F47" s="64">
        <f>Assumptions!$F$45</f>
        <v/>
      </c>
      <c r="G47" s="64">
        <f>Assumptions!$F$45</f>
        <v/>
      </c>
      <c r="H47" s="64">
        <f>Assumptions!$F$45</f>
        <v/>
      </c>
      <c r="I47" s="64">
        <f>Assumptions!$F$45</f>
        <v/>
      </c>
      <c r="J47" s="64">
        <f>Assumptions!$F$45</f>
        <v/>
      </c>
      <c r="K47" s="64">
        <f>Assumptions!$F$45</f>
        <v/>
      </c>
      <c r="L47" s="64">
        <f>Assumptions!$F$45</f>
        <v/>
      </c>
      <c r="M47" s="64">
        <f>Assumptions!$F$45</f>
        <v/>
      </c>
      <c r="N47" s="64">
        <f>Assumptions!$F$45</f>
        <v/>
      </c>
      <c r="O47" s="24">
        <f>SUM(C47:N47)</f>
        <v/>
      </c>
      <c r="P47" s="40" t="n"/>
    </row>
    <row r="48" ht="20" customHeight="1">
      <c r="A48" s="53" t="inlineStr">
        <is>
          <t>Google Workspace &amp; business email</t>
        </is>
      </c>
      <c r="B48" s="50" t="inlineStr"/>
      <c r="C48" s="30">
        <f>Assumptions!$F$46</f>
        <v/>
      </c>
      <c r="D48" s="30">
        <f>Assumptions!$F$46</f>
        <v/>
      </c>
      <c r="E48" s="30">
        <f>Assumptions!$F$46</f>
        <v/>
      </c>
      <c r="F48" s="30">
        <f>Assumptions!$F$46</f>
        <v/>
      </c>
      <c r="G48" s="30">
        <f>Assumptions!$F$46</f>
        <v/>
      </c>
      <c r="H48" s="30">
        <f>Assumptions!$F$46</f>
        <v/>
      </c>
      <c r="I48" s="30">
        <f>Assumptions!$F$46</f>
        <v/>
      </c>
      <c r="J48" s="30">
        <f>Assumptions!$F$46</f>
        <v/>
      </c>
      <c r="K48" s="30">
        <f>Assumptions!$F$46</f>
        <v/>
      </c>
      <c r="L48" s="30">
        <f>Assumptions!$F$46</f>
        <v/>
      </c>
      <c r="M48" s="30">
        <f>Assumptions!$F$46</f>
        <v/>
      </c>
      <c r="N48" s="30">
        <f>Assumptions!$F$46</f>
        <v/>
      </c>
      <c r="O48" s="24">
        <f>SUM(C48:N48)</f>
        <v/>
      </c>
      <c r="P48" s="40" t="n"/>
    </row>
    <row r="49" ht="20" customHeight="1">
      <c r="A49" s="53" t="inlineStr">
        <is>
          <t>Accounting software</t>
        </is>
      </c>
      <c r="B49" s="50" t="inlineStr"/>
      <c r="C49" s="30">
        <f>Assumptions!$F$47</f>
        <v/>
      </c>
      <c r="D49" s="30">
        <f>Assumptions!$F$47</f>
        <v/>
      </c>
      <c r="E49" s="30">
        <f>Assumptions!$F$47</f>
        <v/>
      </c>
      <c r="F49" s="30">
        <f>Assumptions!$F$47</f>
        <v/>
      </c>
      <c r="G49" s="30">
        <f>Assumptions!$F$47</f>
        <v/>
      </c>
      <c r="H49" s="30">
        <f>Assumptions!$F$47</f>
        <v/>
      </c>
      <c r="I49" s="30">
        <f>Assumptions!$F$47</f>
        <v/>
      </c>
      <c r="J49" s="30">
        <f>Assumptions!$F$47</f>
        <v/>
      </c>
      <c r="K49" s="30">
        <f>Assumptions!$F$47</f>
        <v/>
      </c>
      <c r="L49" s="30">
        <f>Assumptions!$F$47</f>
        <v/>
      </c>
      <c r="M49" s="30">
        <f>Assumptions!$F$47</f>
        <v/>
      </c>
      <c r="N49" s="30">
        <f>Assumptions!$F$47</f>
        <v/>
      </c>
      <c r="O49" s="24">
        <f>SUM(C49:N49)</f>
        <v/>
      </c>
      <c r="P49" s="40" t="n"/>
    </row>
    <row r="50" ht="20" customHeight="1">
      <c r="A50" s="53" t="inlineStr">
        <is>
          <t>Website hosting &amp; direct booking engine</t>
        </is>
      </c>
      <c r="B50" s="50" t="inlineStr"/>
      <c r="C50" s="30">
        <f>Assumptions!$F$48</f>
        <v/>
      </c>
      <c r="D50" s="30">
        <f>Assumptions!$F$48</f>
        <v/>
      </c>
      <c r="E50" s="30">
        <f>Assumptions!$F$48</f>
        <v/>
      </c>
      <c r="F50" s="30">
        <f>Assumptions!$F$48</f>
        <v/>
      </c>
      <c r="G50" s="30">
        <f>Assumptions!$F$48</f>
        <v/>
      </c>
      <c r="H50" s="30">
        <f>Assumptions!$F$48</f>
        <v/>
      </c>
      <c r="I50" s="30">
        <f>Assumptions!$F$48</f>
        <v/>
      </c>
      <c r="J50" s="30">
        <f>Assumptions!$F$48</f>
        <v/>
      </c>
      <c r="K50" s="30">
        <f>Assumptions!$F$48</f>
        <v/>
      </c>
      <c r="L50" s="30">
        <f>Assumptions!$F$48</f>
        <v/>
      </c>
      <c r="M50" s="30">
        <f>Assumptions!$F$48</f>
        <v/>
      </c>
      <c r="N50" s="30">
        <f>Assumptions!$F$48</f>
        <v/>
      </c>
      <c r="O50" s="24">
        <f>SUM(C50:N50)</f>
        <v/>
      </c>
      <c r="P50" s="40" t="n"/>
    </row>
    <row r="51" ht="20" customHeight="1">
      <c r="A51" s="53" t="inlineStr">
        <is>
          <t>VoIP, WhatsApp Business API &amp; guest line</t>
        </is>
      </c>
      <c r="B51" s="50" t="inlineStr">
        <is>
          <t>24/7 support promise</t>
        </is>
      </c>
      <c r="C51" s="30">
        <f>Assumptions!$F$49</f>
        <v/>
      </c>
      <c r="D51" s="30">
        <f>Assumptions!$F$49</f>
        <v/>
      </c>
      <c r="E51" s="30">
        <f>Assumptions!$F$49</f>
        <v/>
      </c>
      <c r="F51" s="30">
        <f>Assumptions!$F$49</f>
        <v/>
      </c>
      <c r="G51" s="30">
        <f>Assumptions!$F$49</f>
        <v/>
      </c>
      <c r="H51" s="30">
        <f>Assumptions!$F$49</f>
        <v/>
      </c>
      <c r="I51" s="30">
        <f>Assumptions!$F$49</f>
        <v/>
      </c>
      <c r="J51" s="30">
        <f>Assumptions!$F$49</f>
        <v/>
      </c>
      <c r="K51" s="30">
        <f>Assumptions!$F$49</f>
        <v/>
      </c>
      <c r="L51" s="30">
        <f>Assumptions!$F$49</f>
        <v/>
      </c>
      <c r="M51" s="30">
        <f>Assumptions!$F$49</f>
        <v/>
      </c>
      <c r="N51" s="30">
        <f>Assumptions!$F$49</f>
        <v/>
      </c>
      <c r="O51" s="24">
        <f>SUM(C51:N51)</f>
        <v/>
      </c>
      <c r="P51" s="40" t="n"/>
    </row>
    <row r="52">
      <c r="A52" s="58" t="inlineStr">
        <is>
          <t>TOTAL TECHNOLOGY &amp; AI</t>
        </is>
      </c>
      <c r="B52" s="59" t="n"/>
      <c r="C52" s="60">
        <f>SUM(C44:C51)</f>
        <v/>
      </c>
      <c r="D52" s="60">
        <f>SUM(D44:D51)</f>
        <v/>
      </c>
      <c r="E52" s="60">
        <f>SUM(E44:E51)</f>
        <v/>
      </c>
      <c r="F52" s="60">
        <f>SUM(F44:F51)</f>
        <v/>
      </c>
      <c r="G52" s="60">
        <f>SUM(G44:G51)</f>
        <v/>
      </c>
      <c r="H52" s="60">
        <f>SUM(H44:H51)</f>
        <v/>
      </c>
      <c r="I52" s="60">
        <f>SUM(I44:I51)</f>
        <v/>
      </c>
      <c r="J52" s="60">
        <f>SUM(J44:J51)</f>
        <v/>
      </c>
      <c r="K52" s="60">
        <f>SUM(K44:K51)</f>
        <v/>
      </c>
      <c r="L52" s="60">
        <f>SUM(L44:L51)</f>
        <v/>
      </c>
      <c r="M52" s="60">
        <f>SUM(M44:M51)</f>
        <v/>
      </c>
      <c r="N52" s="60">
        <f>SUM(N44:N51)</f>
        <v/>
      </c>
      <c r="O52" s="60">
        <f>SUM(C52:N52)</f>
        <v/>
      </c>
      <c r="P52" s="61">
        <f>IF($O$86=0,0,$O52/$O$86)</f>
        <v/>
      </c>
    </row>
    <row r="54" ht="18" customHeight="1">
      <c r="A54" s="4" t="inlineStr">
        <is>
          <t>F.  UNIT OPERATIONS  —  variable with portfolio size</t>
        </is>
      </c>
      <c r="B54" s="5" t="n"/>
      <c r="C54" s="5" t="n"/>
      <c r="D54" s="5" t="n"/>
      <c r="E54" s="5" t="n"/>
      <c r="F54" s="5" t="n"/>
      <c r="G54" s="5" t="n"/>
      <c r="H54" s="5" t="n"/>
      <c r="I54" s="5" t="n"/>
      <c r="J54" s="5" t="n"/>
      <c r="K54" s="5" t="n"/>
      <c r="L54" s="5" t="n"/>
      <c r="M54" s="5" t="n"/>
      <c r="N54" s="5" t="n"/>
      <c r="O54" s="5" t="n"/>
      <c r="P54" s="5" t="n"/>
    </row>
    <row r="55" ht="20" customHeight="1">
      <c r="A55" s="53" t="inlineStr">
        <is>
          <t>DET holiday-home permit renewals (accrual)</t>
        </is>
      </c>
      <c r="B55" s="50" t="inlineStr">
        <is>
          <t>Per live unit, 1/12 of annual</t>
        </is>
      </c>
      <c r="C55" s="30">
        <f>C9*Assumptions!$F$51/12</f>
        <v/>
      </c>
      <c r="D55" s="30">
        <f>D9*Assumptions!$F$51/12</f>
        <v/>
      </c>
      <c r="E55" s="30">
        <f>E9*Assumptions!$F$51/12</f>
        <v/>
      </c>
      <c r="F55" s="30">
        <f>F9*Assumptions!$F$51/12</f>
        <v/>
      </c>
      <c r="G55" s="30">
        <f>G9*Assumptions!$F$51/12</f>
        <v/>
      </c>
      <c r="H55" s="30">
        <f>H9*Assumptions!$F$51/12</f>
        <v/>
      </c>
      <c r="I55" s="30">
        <f>I9*Assumptions!$F$51/12</f>
        <v/>
      </c>
      <c r="J55" s="30">
        <f>J9*Assumptions!$F$51/12</f>
        <v/>
      </c>
      <c r="K55" s="30">
        <f>K9*Assumptions!$F$51/12</f>
        <v/>
      </c>
      <c r="L55" s="30">
        <f>L9*Assumptions!$F$51/12</f>
        <v/>
      </c>
      <c r="M55" s="30">
        <f>M9*Assumptions!$F$51/12</f>
        <v/>
      </c>
      <c r="N55" s="30">
        <f>N9*Assumptions!$F$51/12</f>
        <v/>
      </c>
      <c r="O55" s="24">
        <f>SUM(C55:N55)</f>
        <v/>
      </c>
      <c r="P55" s="40" t="n"/>
    </row>
    <row r="56" ht="20" customHeight="1">
      <c r="A56" s="53" t="inlineStr">
        <is>
          <t>Housekeeping &amp; laundry — net of guest recharge</t>
        </is>
      </c>
      <c r="B56" s="50" t="inlineStr">
        <is>
          <t>Per live unit</t>
        </is>
      </c>
      <c r="C56" s="30">
        <f>C9*Assumptions!$F$52</f>
        <v/>
      </c>
      <c r="D56" s="30">
        <f>D9*Assumptions!$F$52</f>
        <v/>
      </c>
      <c r="E56" s="30">
        <f>E9*Assumptions!$F$52</f>
        <v/>
      </c>
      <c r="F56" s="30">
        <f>F9*Assumptions!$F$52</f>
        <v/>
      </c>
      <c r="G56" s="30">
        <f>G9*Assumptions!$F$52</f>
        <v/>
      </c>
      <c r="H56" s="30">
        <f>H9*Assumptions!$F$52</f>
        <v/>
      </c>
      <c r="I56" s="30">
        <f>I9*Assumptions!$F$52</f>
        <v/>
      </c>
      <c r="J56" s="30">
        <f>J9*Assumptions!$F$52</f>
        <v/>
      </c>
      <c r="K56" s="30">
        <f>K9*Assumptions!$F$52</f>
        <v/>
      </c>
      <c r="L56" s="30">
        <f>L9*Assumptions!$F$52</f>
        <v/>
      </c>
      <c r="M56" s="30">
        <f>M9*Assumptions!$F$52</f>
        <v/>
      </c>
      <c r="N56" s="30">
        <f>N9*Assumptions!$F$52</f>
        <v/>
      </c>
      <c r="O56" s="24">
        <f>SUM(C56:N56)</f>
        <v/>
      </c>
      <c r="P56" s="40" t="n"/>
    </row>
    <row r="57" ht="20" customHeight="1">
      <c r="A57" s="53" t="inlineStr">
        <is>
          <t>Guest consumables &amp; amenities</t>
        </is>
      </c>
      <c r="B57" s="50" t="inlineStr">
        <is>
          <t>Per live unit</t>
        </is>
      </c>
      <c r="C57" s="30">
        <f>C9*Assumptions!$F$53</f>
        <v/>
      </c>
      <c r="D57" s="30">
        <f>D9*Assumptions!$F$53</f>
        <v/>
      </c>
      <c r="E57" s="30">
        <f>E9*Assumptions!$F$53</f>
        <v/>
      </c>
      <c r="F57" s="30">
        <f>F9*Assumptions!$F$53</f>
        <v/>
      </c>
      <c r="G57" s="30">
        <f>G9*Assumptions!$F$53</f>
        <v/>
      </c>
      <c r="H57" s="30">
        <f>H9*Assumptions!$F$53</f>
        <v/>
      </c>
      <c r="I57" s="30">
        <f>I9*Assumptions!$F$53</f>
        <v/>
      </c>
      <c r="J57" s="30">
        <f>J9*Assumptions!$F$53</f>
        <v/>
      </c>
      <c r="K57" s="30">
        <f>K9*Assumptions!$F$53</f>
        <v/>
      </c>
      <c r="L57" s="30">
        <f>L9*Assumptions!$F$53</f>
        <v/>
      </c>
      <c r="M57" s="30">
        <f>M9*Assumptions!$F$53</f>
        <v/>
      </c>
      <c r="N57" s="30">
        <f>N9*Assumptions!$F$53</f>
        <v/>
      </c>
      <c r="O57" s="24">
        <f>SUM(C57:N57)</f>
        <v/>
      </c>
      <c r="P57" s="40" t="n"/>
    </row>
    <row r="58" ht="20" customHeight="1">
      <c r="A58" s="53" t="inlineStr">
        <is>
          <t>Maintenance coordination &amp; petty repairs</t>
        </is>
      </c>
      <c r="B58" s="50" t="inlineStr">
        <is>
          <t>Per live unit</t>
        </is>
      </c>
      <c r="C58" s="30">
        <f>C9*Assumptions!$F$54</f>
        <v/>
      </c>
      <c r="D58" s="30">
        <f>D9*Assumptions!$F$54</f>
        <v/>
      </c>
      <c r="E58" s="30">
        <f>E9*Assumptions!$F$54</f>
        <v/>
      </c>
      <c r="F58" s="30">
        <f>F9*Assumptions!$F$54</f>
        <v/>
      </c>
      <c r="G58" s="30">
        <f>G9*Assumptions!$F$54</f>
        <v/>
      </c>
      <c r="H58" s="30">
        <f>H9*Assumptions!$F$54</f>
        <v/>
      </c>
      <c r="I58" s="30">
        <f>I9*Assumptions!$F$54</f>
        <v/>
      </c>
      <c r="J58" s="30">
        <f>J9*Assumptions!$F$54</f>
        <v/>
      </c>
      <c r="K58" s="30">
        <f>K9*Assumptions!$F$54</f>
        <v/>
      </c>
      <c r="L58" s="30">
        <f>L9*Assumptions!$F$54</f>
        <v/>
      </c>
      <c r="M58" s="30">
        <f>M9*Assumptions!$F$54</f>
        <v/>
      </c>
      <c r="N58" s="30">
        <f>N9*Assumptions!$F$54</f>
        <v/>
      </c>
      <c r="O58" s="24">
        <f>SUM(C58:N58)</f>
        <v/>
      </c>
      <c r="P58" s="40" t="n"/>
    </row>
    <row r="59" ht="20" customHeight="1">
      <c r="A59" s="53" t="inlineStr">
        <is>
          <t>Linen &amp; towel replacement</t>
        </is>
      </c>
      <c r="B59" s="50" t="inlineStr">
        <is>
          <t>Per live unit</t>
        </is>
      </c>
      <c r="C59" s="30">
        <f>C9*Assumptions!$F$55</f>
        <v/>
      </c>
      <c r="D59" s="30">
        <f>D9*Assumptions!$F$55</f>
        <v/>
      </c>
      <c r="E59" s="30">
        <f>E9*Assumptions!$F$55</f>
        <v/>
      </c>
      <c r="F59" s="30">
        <f>F9*Assumptions!$F$55</f>
        <v/>
      </c>
      <c r="G59" s="30">
        <f>G9*Assumptions!$F$55</f>
        <v/>
      </c>
      <c r="H59" s="30">
        <f>H9*Assumptions!$F$55</f>
        <v/>
      </c>
      <c r="I59" s="30">
        <f>I9*Assumptions!$F$55</f>
        <v/>
      </c>
      <c r="J59" s="30">
        <f>J9*Assumptions!$F$55</f>
        <v/>
      </c>
      <c r="K59" s="30">
        <f>K9*Assumptions!$F$55</f>
        <v/>
      </c>
      <c r="L59" s="30">
        <f>L9*Assumptions!$F$55</f>
        <v/>
      </c>
      <c r="M59" s="30">
        <f>M9*Assumptions!$F$55</f>
        <v/>
      </c>
      <c r="N59" s="30">
        <f>N9*Assumptions!$F$55</f>
        <v/>
      </c>
      <c r="O59" s="24">
        <f>SUM(C59:N59)</f>
        <v/>
      </c>
      <c r="P59" s="40" t="n"/>
    </row>
    <row r="60">
      <c r="A60" s="58" t="inlineStr">
        <is>
          <t>TOTAL UNIT OPERATIONS</t>
        </is>
      </c>
      <c r="B60" s="59" t="n"/>
      <c r="C60" s="60">
        <f>SUM(C55:C59)</f>
        <v/>
      </c>
      <c r="D60" s="60">
        <f>SUM(D55:D59)</f>
        <v/>
      </c>
      <c r="E60" s="60">
        <f>SUM(E55:E59)</f>
        <v/>
      </c>
      <c r="F60" s="60">
        <f>SUM(F55:F59)</f>
        <v/>
      </c>
      <c r="G60" s="60">
        <f>SUM(G55:G59)</f>
        <v/>
      </c>
      <c r="H60" s="60">
        <f>SUM(H55:H59)</f>
        <v/>
      </c>
      <c r="I60" s="60">
        <f>SUM(I55:I59)</f>
        <v/>
      </c>
      <c r="J60" s="60">
        <f>SUM(J55:J59)</f>
        <v/>
      </c>
      <c r="K60" s="60">
        <f>SUM(K55:K59)</f>
        <v/>
      </c>
      <c r="L60" s="60">
        <f>SUM(L55:L59)</f>
        <v/>
      </c>
      <c r="M60" s="60">
        <f>SUM(M55:M59)</f>
        <v/>
      </c>
      <c r="N60" s="60">
        <f>SUM(N55:N59)</f>
        <v/>
      </c>
      <c r="O60" s="60">
        <f>SUM(C60:N60)</f>
        <v/>
      </c>
      <c r="P60" s="61">
        <f>IF($O$86=0,0,$O60/$O$86)</f>
        <v/>
      </c>
    </row>
    <row r="62" ht="18" customHeight="1">
      <c r="A62" s="4" t="inlineStr">
        <is>
          <t>G.  OFFICE &amp; ADMINISTRATION  —  DUBAI</t>
        </is>
      </c>
      <c r="B62" s="5" t="n"/>
      <c r="C62" s="5" t="n"/>
      <c r="D62" s="5" t="n"/>
      <c r="E62" s="5" t="n"/>
      <c r="F62" s="5" t="n"/>
      <c r="G62" s="5" t="n"/>
      <c r="H62" s="5" t="n"/>
      <c r="I62" s="5" t="n"/>
      <c r="J62" s="5" t="n"/>
      <c r="K62" s="5" t="n"/>
      <c r="L62" s="5" t="n"/>
      <c r="M62" s="5" t="n"/>
      <c r="N62" s="5" t="n"/>
      <c r="O62" s="5" t="n"/>
      <c r="P62" s="5" t="n"/>
    </row>
    <row r="63" ht="20" customHeight="1">
      <c r="A63" s="53" t="inlineStr">
        <is>
          <t>Office rent / registered address</t>
        </is>
      </c>
      <c r="B63" s="50" t="inlineStr"/>
      <c r="C63" s="30">
        <f>Assumptions!$F$57</f>
        <v/>
      </c>
      <c r="D63" s="30">
        <f>Assumptions!$F$57</f>
        <v/>
      </c>
      <c r="E63" s="30">
        <f>Assumptions!$F$57</f>
        <v/>
      </c>
      <c r="F63" s="30">
        <f>Assumptions!$F$57</f>
        <v/>
      </c>
      <c r="G63" s="30">
        <f>Assumptions!$F$57</f>
        <v/>
      </c>
      <c r="H63" s="30">
        <f>Assumptions!$F$57</f>
        <v/>
      </c>
      <c r="I63" s="30">
        <f>Assumptions!$F$57</f>
        <v/>
      </c>
      <c r="J63" s="30">
        <f>Assumptions!$F$57</f>
        <v/>
      </c>
      <c r="K63" s="30">
        <f>Assumptions!$F$57</f>
        <v/>
      </c>
      <c r="L63" s="30">
        <f>Assumptions!$F$57</f>
        <v/>
      </c>
      <c r="M63" s="30">
        <f>Assumptions!$F$57</f>
        <v/>
      </c>
      <c r="N63" s="30">
        <f>Assumptions!$F$57</f>
        <v/>
      </c>
      <c r="O63" s="24">
        <f>SUM(C63:N63)</f>
        <v/>
      </c>
      <c r="P63" s="40" t="n"/>
    </row>
    <row r="64" ht="20" customHeight="1">
      <c r="A64" s="53" t="inlineStr">
        <is>
          <t>Office DEWA, internet &amp; chiller</t>
        </is>
      </c>
      <c r="B64" s="50" t="inlineStr"/>
      <c r="C64" s="30">
        <f>Assumptions!$F$58</f>
        <v/>
      </c>
      <c r="D64" s="30">
        <f>Assumptions!$F$58</f>
        <v/>
      </c>
      <c r="E64" s="30">
        <f>Assumptions!$F$58</f>
        <v/>
      </c>
      <c r="F64" s="30">
        <f>Assumptions!$F$58</f>
        <v/>
      </c>
      <c r="G64" s="30">
        <f>Assumptions!$F$58</f>
        <v/>
      </c>
      <c r="H64" s="30">
        <f>Assumptions!$F$58</f>
        <v/>
      </c>
      <c r="I64" s="30">
        <f>Assumptions!$F$58</f>
        <v/>
      </c>
      <c r="J64" s="30">
        <f>Assumptions!$F$58</f>
        <v/>
      </c>
      <c r="K64" s="30">
        <f>Assumptions!$F$58</f>
        <v/>
      </c>
      <c r="L64" s="30">
        <f>Assumptions!$F$58</f>
        <v/>
      </c>
      <c r="M64" s="30">
        <f>Assumptions!$F$58</f>
        <v/>
      </c>
      <c r="N64" s="30">
        <f>Assumptions!$F$58</f>
        <v/>
      </c>
      <c r="O64" s="24">
        <f>SUM(C64:N64)</f>
        <v/>
      </c>
      <c r="P64" s="40" t="n"/>
    </row>
    <row r="65" ht="20" customHeight="1">
      <c r="A65" s="53" t="inlineStr">
        <is>
          <t>Mobile &amp; telephone</t>
        </is>
      </c>
      <c r="B65" s="50" t="inlineStr"/>
      <c r="C65" s="30">
        <f>Assumptions!$F$59</f>
        <v/>
      </c>
      <c r="D65" s="30">
        <f>Assumptions!$F$59</f>
        <v/>
      </c>
      <c r="E65" s="30">
        <f>Assumptions!$F$59</f>
        <v/>
      </c>
      <c r="F65" s="30">
        <f>Assumptions!$F$59</f>
        <v/>
      </c>
      <c r="G65" s="30">
        <f>Assumptions!$F$59</f>
        <v/>
      </c>
      <c r="H65" s="30">
        <f>Assumptions!$F$59</f>
        <v/>
      </c>
      <c r="I65" s="30">
        <f>Assumptions!$F$59</f>
        <v/>
      </c>
      <c r="J65" s="30">
        <f>Assumptions!$F$59</f>
        <v/>
      </c>
      <c r="K65" s="30">
        <f>Assumptions!$F$59</f>
        <v/>
      </c>
      <c r="L65" s="30">
        <f>Assumptions!$F$59</f>
        <v/>
      </c>
      <c r="M65" s="30">
        <f>Assumptions!$F$59</f>
        <v/>
      </c>
      <c r="N65" s="30">
        <f>Assumptions!$F$59</f>
        <v/>
      </c>
      <c r="O65" s="24">
        <f>SUM(C65:N65)</f>
        <v/>
      </c>
      <c r="P65" s="40" t="n"/>
    </row>
    <row r="66" ht="20" customHeight="1">
      <c r="A66" s="53" t="inlineStr">
        <is>
          <t>Transport, fuel, Salik &amp; parking</t>
        </is>
      </c>
      <c r="B66" s="50" t="inlineStr"/>
      <c r="C66" s="30">
        <f>Assumptions!$F$60</f>
        <v/>
      </c>
      <c r="D66" s="30">
        <f>Assumptions!$F$60</f>
        <v/>
      </c>
      <c r="E66" s="30">
        <f>Assumptions!$F$60</f>
        <v/>
      </c>
      <c r="F66" s="30">
        <f>Assumptions!$F$60</f>
        <v/>
      </c>
      <c r="G66" s="30">
        <f>Assumptions!$F$60</f>
        <v/>
      </c>
      <c r="H66" s="30">
        <f>Assumptions!$F$60</f>
        <v/>
      </c>
      <c r="I66" s="30">
        <f>Assumptions!$F$60</f>
        <v/>
      </c>
      <c r="J66" s="30">
        <f>Assumptions!$F$60</f>
        <v/>
      </c>
      <c r="K66" s="30">
        <f>Assumptions!$F$60</f>
        <v/>
      </c>
      <c r="L66" s="30">
        <f>Assumptions!$F$60</f>
        <v/>
      </c>
      <c r="M66" s="30">
        <f>Assumptions!$F$60</f>
        <v/>
      </c>
      <c r="N66" s="30">
        <f>Assumptions!$F$60</f>
        <v/>
      </c>
      <c r="O66" s="24">
        <f>SUM(C66:N66)</f>
        <v/>
      </c>
      <c r="P66" s="40" t="n"/>
    </row>
    <row r="67" ht="20" customHeight="1">
      <c r="A67" s="53" t="inlineStr">
        <is>
          <t>Office consumables, printing &amp; courier</t>
        </is>
      </c>
      <c r="B67" s="50" t="inlineStr"/>
      <c r="C67" s="30">
        <f>Assumptions!$F$61</f>
        <v/>
      </c>
      <c r="D67" s="30">
        <f>Assumptions!$F$61</f>
        <v/>
      </c>
      <c r="E67" s="30">
        <f>Assumptions!$F$61</f>
        <v/>
      </c>
      <c r="F67" s="30">
        <f>Assumptions!$F$61</f>
        <v/>
      </c>
      <c r="G67" s="30">
        <f>Assumptions!$F$61</f>
        <v/>
      </c>
      <c r="H67" s="30">
        <f>Assumptions!$F$61</f>
        <v/>
      </c>
      <c r="I67" s="30">
        <f>Assumptions!$F$61</f>
        <v/>
      </c>
      <c r="J67" s="30">
        <f>Assumptions!$F$61</f>
        <v/>
      </c>
      <c r="K67" s="30">
        <f>Assumptions!$F$61</f>
        <v/>
      </c>
      <c r="L67" s="30">
        <f>Assumptions!$F$61</f>
        <v/>
      </c>
      <c r="M67" s="30">
        <f>Assumptions!$F$61</f>
        <v/>
      </c>
      <c r="N67" s="30">
        <f>Assumptions!$F$61</f>
        <v/>
      </c>
      <c r="O67" s="24">
        <f>SUM(C67:N67)</f>
        <v/>
      </c>
      <c r="P67" s="40" t="n"/>
    </row>
    <row r="68" ht="20" customHeight="1">
      <c r="A68" s="53" t="inlineStr">
        <is>
          <t>Bank charges &amp; account maintenance</t>
        </is>
      </c>
      <c r="B68" s="50" t="inlineStr"/>
      <c r="C68" s="30">
        <f>Assumptions!$F$62</f>
        <v/>
      </c>
      <c r="D68" s="30">
        <f>Assumptions!$F$62</f>
        <v/>
      </c>
      <c r="E68" s="30">
        <f>Assumptions!$F$62</f>
        <v/>
      </c>
      <c r="F68" s="30">
        <f>Assumptions!$F$62</f>
        <v/>
      </c>
      <c r="G68" s="30">
        <f>Assumptions!$F$62</f>
        <v/>
      </c>
      <c r="H68" s="30">
        <f>Assumptions!$F$62</f>
        <v/>
      </c>
      <c r="I68" s="30">
        <f>Assumptions!$F$62</f>
        <v/>
      </c>
      <c r="J68" s="30">
        <f>Assumptions!$F$62</f>
        <v/>
      </c>
      <c r="K68" s="30">
        <f>Assumptions!$F$62</f>
        <v/>
      </c>
      <c r="L68" s="30">
        <f>Assumptions!$F$62</f>
        <v/>
      </c>
      <c r="M68" s="30">
        <f>Assumptions!$F$62</f>
        <v/>
      </c>
      <c r="N68" s="30">
        <f>Assumptions!$F$62</f>
        <v/>
      </c>
      <c r="O68" s="24">
        <f>SUM(C68:N68)</f>
        <v/>
      </c>
      <c r="P68" s="40" t="n"/>
    </row>
    <row r="69" ht="20" customHeight="1">
      <c r="A69" s="53" t="inlineStr">
        <is>
          <t>Payment gateway / OTA payout fees</t>
        </is>
      </c>
      <c r="B69" s="50" t="inlineStr">
        <is>
          <t>% of gross collections</t>
        </is>
      </c>
      <c r="C69" s="30">
        <f>C10*Assumptions!$F$63</f>
        <v/>
      </c>
      <c r="D69" s="30">
        <f>D10*Assumptions!$F$63</f>
        <v/>
      </c>
      <c r="E69" s="30">
        <f>E10*Assumptions!$F$63</f>
        <v/>
      </c>
      <c r="F69" s="30">
        <f>F10*Assumptions!$F$63</f>
        <v/>
      </c>
      <c r="G69" s="30">
        <f>G10*Assumptions!$F$63</f>
        <v/>
      </c>
      <c r="H69" s="30">
        <f>H10*Assumptions!$F$63</f>
        <v/>
      </c>
      <c r="I69" s="30">
        <f>I10*Assumptions!$F$63</f>
        <v/>
      </c>
      <c r="J69" s="30">
        <f>J10*Assumptions!$F$63</f>
        <v/>
      </c>
      <c r="K69" s="30">
        <f>K10*Assumptions!$F$63</f>
        <v/>
      </c>
      <c r="L69" s="30">
        <f>L10*Assumptions!$F$63</f>
        <v/>
      </c>
      <c r="M69" s="30">
        <f>M10*Assumptions!$F$63</f>
        <v/>
      </c>
      <c r="N69" s="30">
        <f>N10*Assumptions!$F$63</f>
        <v/>
      </c>
      <c r="O69" s="24">
        <f>SUM(C69:N69)</f>
        <v/>
      </c>
      <c r="P69" s="40" t="n"/>
    </row>
    <row r="70">
      <c r="A70" s="58" t="inlineStr">
        <is>
          <t>TOTAL OFFICE &amp; ADMIN</t>
        </is>
      </c>
      <c r="B70" s="59" t="n"/>
      <c r="C70" s="60">
        <f>SUM(C63:C69)</f>
        <v/>
      </c>
      <c r="D70" s="60">
        <f>SUM(D63:D69)</f>
        <v/>
      </c>
      <c r="E70" s="60">
        <f>SUM(E63:E69)</f>
        <v/>
      </c>
      <c r="F70" s="60">
        <f>SUM(F63:F69)</f>
        <v/>
      </c>
      <c r="G70" s="60">
        <f>SUM(G63:G69)</f>
        <v/>
      </c>
      <c r="H70" s="60">
        <f>SUM(H63:H69)</f>
        <v/>
      </c>
      <c r="I70" s="60">
        <f>SUM(I63:I69)</f>
        <v/>
      </c>
      <c r="J70" s="60">
        <f>SUM(J63:J69)</f>
        <v/>
      </c>
      <c r="K70" s="60">
        <f>SUM(K63:K69)</f>
        <v/>
      </c>
      <c r="L70" s="60">
        <f>SUM(L63:L69)</f>
        <v/>
      </c>
      <c r="M70" s="60">
        <f>SUM(M63:M69)</f>
        <v/>
      </c>
      <c r="N70" s="60">
        <f>SUM(N63:N69)</f>
        <v/>
      </c>
      <c r="O70" s="60">
        <f>SUM(C70:N70)</f>
        <v/>
      </c>
      <c r="P70" s="61">
        <f>IF($O$86=0,0,$O70/$O$86)</f>
        <v/>
      </c>
    </row>
    <row r="72" ht="18" customHeight="1">
      <c r="A72" s="4" t="inlineStr">
        <is>
          <t>H.  PROFESSIONAL, COMPLIANCE &amp; INSURANCE</t>
        </is>
      </c>
      <c r="B72" s="5" t="n"/>
      <c r="C72" s="5" t="n"/>
      <c r="D72" s="5" t="n"/>
      <c r="E72" s="5" t="n"/>
      <c r="F72" s="5" t="n"/>
      <c r="G72" s="5" t="n"/>
      <c r="H72" s="5" t="n"/>
      <c r="I72" s="5" t="n"/>
      <c r="J72" s="5" t="n"/>
      <c r="K72" s="5" t="n"/>
      <c r="L72" s="5" t="n"/>
      <c r="M72" s="5" t="n"/>
      <c r="N72" s="5" t="n"/>
      <c r="O72" s="5" t="n"/>
      <c r="P72" s="5" t="n"/>
    </row>
    <row r="73" ht="20" customHeight="1">
      <c r="A73" s="53" t="inlineStr">
        <is>
          <t>Bookkeeping &amp; management accounts</t>
        </is>
      </c>
      <c r="B73" s="50" t="inlineStr"/>
      <c r="C73" s="30">
        <f>Assumptions!$F$65</f>
        <v/>
      </c>
      <c r="D73" s="30">
        <f>Assumptions!$F$65</f>
        <v/>
      </c>
      <c r="E73" s="30">
        <f>Assumptions!$F$65</f>
        <v/>
      </c>
      <c r="F73" s="30">
        <f>Assumptions!$F$65</f>
        <v/>
      </c>
      <c r="G73" s="30">
        <f>Assumptions!$F$65</f>
        <v/>
      </c>
      <c r="H73" s="30">
        <f>Assumptions!$F$65</f>
        <v/>
      </c>
      <c r="I73" s="30">
        <f>Assumptions!$F$65</f>
        <v/>
      </c>
      <c r="J73" s="30">
        <f>Assumptions!$F$65</f>
        <v/>
      </c>
      <c r="K73" s="30">
        <f>Assumptions!$F$65</f>
        <v/>
      </c>
      <c r="L73" s="30">
        <f>Assumptions!$F$65</f>
        <v/>
      </c>
      <c r="M73" s="30">
        <f>Assumptions!$F$65</f>
        <v/>
      </c>
      <c r="N73" s="30">
        <f>Assumptions!$F$65</f>
        <v/>
      </c>
      <c r="O73" s="24">
        <f>SUM(C73:N73)</f>
        <v/>
      </c>
      <c r="P73" s="40" t="n"/>
    </row>
    <row r="74" ht="20" customHeight="1">
      <c r="A74" s="53" t="inlineStr">
        <is>
          <t>VAT return preparation &amp; filing</t>
        </is>
      </c>
      <c r="B74" s="50" t="inlineStr">
        <is>
          <t>Quarterly — M3, M6, M9, M12</t>
        </is>
      </c>
      <c r="C74" s="30">
        <f>IF(MOD(C6,3)=0,Assumptions!$F$66,0)</f>
        <v/>
      </c>
      <c r="D74" s="30">
        <f>IF(MOD(D6,3)=0,Assumptions!$F$66,0)</f>
        <v/>
      </c>
      <c r="E74" s="30">
        <f>IF(MOD(E6,3)=0,Assumptions!$F$66,0)</f>
        <v/>
      </c>
      <c r="F74" s="30">
        <f>IF(MOD(F6,3)=0,Assumptions!$F$66,0)</f>
        <v/>
      </c>
      <c r="G74" s="30">
        <f>IF(MOD(G6,3)=0,Assumptions!$F$66,0)</f>
        <v/>
      </c>
      <c r="H74" s="30">
        <f>IF(MOD(H6,3)=0,Assumptions!$F$66,0)</f>
        <v/>
      </c>
      <c r="I74" s="30">
        <f>IF(MOD(I6,3)=0,Assumptions!$F$66,0)</f>
        <v/>
      </c>
      <c r="J74" s="30">
        <f>IF(MOD(J6,3)=0,Assumptions!$F$66,0)</f>
        <v/>
      </c>
      <c r="K74" s="30">
        <f>IF(MOD(K6,3)=0,Assumptions!$F$66,0)</f>
        <v/>
      </c>
      <c r="L74" s="30">
        <f>IF(MOD(L6,3)=0,Assumptions!$F$66,0)</f>
        <v/>
      </c>
      <c r="M74" s="30">
        <f>IF(MOD(M6,3)=0,Assumptions!$F$66,0)</f>
        <v/>
      </c>
      <c r="N74" s="30">
        <f>IF(MOD(N6,3)=0,Assumptions!$F$66,0)</f>
        <v/>
      </c>
      <c r="O74" s="24">
        <f>SUM(C74:N74)</f>
        <v/>
      </c>
      <c r="P74" s="40" t="n"/>
    </row>
    <row r="75" ht="20" customHeight="1">
      <c r="A75" s="53" t="inlineStr">
        <is>
          <t>Corporate Tax compliance (accrual)</t>
        </is>
      </c>
      <c r="B75" s="50" t="inlineStr">
        <is>
          <t>1/12 of annual</t>
        </is>
      </c>
      <c r="C75" s="30">
        <f>Assumptions!$F$67/12</f>
        <v/>
      </c>
      <c r="D75" s="30">
        <f>Assumptions!$F$67/12</f>
        <v/>
      </c>
      <c r="E75" s="30">
        <f>Assumptions!$F$67/12</f>
        <v/>
      </c>
      <c r="F75" s="30">
        <f>Assumptions!$F$67/12</f>
        <v/>
      </c>
      <c r="G75" s="30">
        <f>Assumptions!$F$67/12</f>
        <v/>
      </c>
      <c r="H75" s="30">
        <f>Assumptions!$F$67/12</f>
        <v/>
      </c>
      <c r="I75" s="30">
        <f>Assumptions!$F$67/12</f>
        <v/>
      </c>
      <c r="J75" s="30">
        <f>Assumptions!$F$67/12</f>
        <v/>
      </c>
      <c r="K75" s="30">
        <f>Assumptions!$F$67/12</f>
        <v/>
      </c>
      <c r="L75" s="30">
        <f>Assumptions!$F$67/12</f>
        <v/>
      </c>
      <c r="M75" s="30">
        <f>Assumptions!$F$67/12</f>
        <v/>
      </c>
      <c r="N75" s="30">
        <f>Assumptions!$F$67/12</f>
        <v/>
      </c>
      <c r="O75" s="24">
        <f>SUM(C75:N75)</f>
        <v/>
      </c>
      <c r="P75" s="40" t="n"/>
    </row>
    <row r="76" ht="20" customHeight="1">
      <c r="A76" s="53" t="inlineStr">
        <is>
          <t>External audit (accrual)</t>
        </is>
      </c>
      <c r="B76" s="50" t="inlineStr">
        <is>
          <t>1/12 of annual</t>
        </is>
      </c>
      <c r="C76" s="30">
        <f>Assumptions!$F$68/12</f>
        <v/>
      </c>
      <c r="D76" s="30">
        <f>Assumptions!$F$68/12</f>
        <v/>
      </c>
      <c r="E76" s="30">
        <f>Assumptions!$F$68/12</f>
        <v/>
      </c>
      <c r="F76" s="30">
        <f>Assumptions!$F$68/12</f>
        <v/>
      </c>
      <c r="G76" s="30">
        <f>Assumptions!$F$68/12</f>
        <v/>
      </c>
      <c r="H76" s="30">
        <f>Assumptions!$F$68/12</f>
        <v/>
      </c>
      <c r="I76" s="30">
        <f>Assumptions!$F$68/12</f>
        <v/>
      </c>
      <c r="J76" s="30">
        <f>Assumptions!$F$68/12</f>
        <v/>
      </c>
      <c r="K76" s="30">
        <f>Assumptions!$F$68/12</f>
        <v/>
      </c>
      <c r="L76" s="30">
        <f>Assumptions!$F$68/12</f>
        <v/>
      </c>
      <c r="M76" s="30">
        <f>Assumptions!$F$68/12</f>
        <v/>
      </c>
      <c r="N76" s="30">
        <f>Assumptions!$F$68/12</f>
        <v/>
      </c>
      <c r="O76" s="24">
        <f>SUM(C76:N76)</f>
        <v/>
      </c>
      <c r="P76" s="40" t="n"/>
    </row>
    <row r="77" ht="20" customHeight="1">
      <c r="A77" s="53" t="inlineStr">
        <is>
          <t>PRO / government liaison (accrual)</t>
        </is>
      </c>
      <c r="B77" s="50" t="inlineStr">
        <is>
          <t>1/12 of annual</t>
        </is>
      </c>
      <c r="C77" s="30">
        <f>Assumptions!$F$69/12</f>
        <v/>
      </c>
      <c r="D77" s="30">
        <f>Assumptions!$F$69/12</f>
        <v/>
      </c>
      <c r="E77" s="30">
        <f>Assumptions!$F$69/12</f>
        <v/>
      </c>
      <c r="F77" s="30">
        <f>Assumptions!$F$69/12</f>
        <v/>
      </c>
      <c r="G77" s="30">
        <f>Assumptions!$F$69/12</f>
        <v/>
      </c>
      <c r="H77" s="30">
        <f>Assumptions!$F$69/12</f>
        <v/>
      </c>
      <c r="I77" s="30">
        <f>Assumptions!$F$69/12</f>
        <v/>
      </c>
      <c r="J77" s="30">
        <f>Assumptions!$F$69/12</f>
        <v/>
      </c>
      <c r="K77" s="30">
        <f>Assumptions!$F$69/12</f>
        <v/>
      </c>
      <c r="L77" s="30">
        <f>Assumptions!$F$69/12</f>
        <v/>
      </c>
      <c r="M77" s="30">
        <f>Assumptions!$F$69/12</f>
        <v/>
      </c>
      <c r="N77" s="30">
        <f>Assumptions!$F$69/12</f>
        <v/>
      </c>
      <c r="O77" s="24">
        <f>SUM(C77:N77)</f>
        <v/>
      </c>
      <c r="P77" s="40" t="n"/>
    </row>
    <row r="78" ht="20" customHeight="1">
      <c r="A78" s="53" t="inlineStr">
        <is>
          <t>Trade licence &amp; DET permit renewal (accrual)</t>
        </is>
      </c>
      <c r="B78" s="50" t="inlineStr">
        <is>
          <t>1/12 of annual</t>
        </is>
      </c>
      <c r="C78" s="30">
        <f>Assumptions!$F$70/12</f>
        <v/>
      </c>
      <c r="D78" s="30">
        <f>Assumptions!$F$70/12</f>
        <v/>
      </c>
      <c r="E78" s="30">
        <f>Assumptions!$F$70/12</f>
        <v/>
      </c>
      <c r="F78" s="30">
        <f>Assumptions!$F$70/12</f>
        <v/>
      </c>
      <c r="G78" s="30">
        <f>Assumptions!$F$70/12</f>
        <v/>
      </c>
      <c r="H78" s="30">
        <f>Assumptions!$F$70/12</f>
        <v/>
      </c>
      <c r="I78" s="30">
        <f>Assumptions!$F$70/12</f>
        <v/>
      </c>
      <c r="J78" s="30">
        <f>Assumptions!$F$70/12</f>
        <v/>
      </c>
      <c r="K78" s="30">
        <f>Assumptions!$F$70/12</f>
        <v/>
      </c>
      <c r="L78" s="30">
        <f>Assumptions!$F$70/12</f>
        <v/>
      </c>
      <c r="M78" s="30">
        <f>Assumptions!$F$70/12</f>
        <v/>
      </c>
      <c r="N78" s="30">
        <f>Assumptions!$F$70/12</f>
        <v/>
      </c>
      <c r="O78" s="24">
        <f>SUM(C78:N78)</f>
        <v/>
      </c>
      <c r="P78" s="40" t="n"/>
    </row>
    <row r="79" ht="20" customHeight="1">
      <c r="A79" s="53" t="inlineStr">
        <is>
          <t>Public liability &amp; PI insurance (accrual)</t>
        </is>
      </c>
      <c r="B79" s="50" t="inlineStr">
        <is>
          <t>1/12 of annual</t>
        </is>
      </c>
      <c r="C79" s="30">
        <f>Assumptions!$F$71/12</f>
        <v/>
      </c>
      <c r="D79" s="30">
        <f>Assumptions!$F$71/12</f>
        <v/>
      </c>
      <c r="E79" s="30">
        <f>Assumptions!$F$71/12</f>
        <v/>
      </c>
      <c r="F79" s="30">
        <f>Assumptions!$F$71/12</f>
        <v/>
      </c>
      <c r="G79" s="30">
        <f>Assumptions!$F$71/12</f>
        <v/>
      </c>
      <c r="H79" s="30">
        <f>Assumptions!$F$71/12</f>
        <v/>
      </c>
      <c r="I79" s="30">
        <f>Assumptions!$F$71/12</f>
        <v/>
      </c>
      <c r="J79" s="30">
        <f>Assumptions!$F$71/12</f>
        <v/>
      </c>
      <c r="K79" s="30">
        <f>Assumptions!$F$71/12</f>
        <v/>
      </c>
      <c r="L79" s="30">
        <f>Assumptions!$F$71/12</f>
        <v/>
      </c>
      <c r="M79" s="30">
        <f>Assumptions!$F$71/12</f>
        <v/>
      </c>
      <c r="N79" s="30">
        <f>Assumptions!$F$71/12</f>
        <v/>
      </c>
      <c r="O79" s="24">
        <f>SUM(C79:N79)</f>
        <v/>
      </c>
      <c r="P79" s="40" t="n"/>
    </row>
    <row r="80" ht="20" customHeight="1">
      <c r="A80" s="53" t="inlineStr">
        <is>
          <t>Legal, contracts &amp; disputes (accrual)</t>
        </is>
      </c>
      <c r="B80" s="50" t="inlineStr">
        <is>
          <t>1/12 of annual</t>
        </is>
      </c>
      <c r="C80" s="30">
        <f>Assumptions!$F$72/12</f>
        <v/>
      </c>
      <c r="D80" s="30">
        <f>Assumptions!$F$72/12</f>
        <v/>
      </c>
      <c r="E80" s="30">
        <f>Assumptions!$F$72/12</f>
        <v/>
      </c>
      <c r="F80" s="30">
        <f>Assumptions!$F$72/12</f>
        <v/>
      </c>
      <c r="G80" s="30">
        <f>Assumptions!$F$72/12</f>
        <v/>
      </c>
      <c r="H80" s="30">
        <f>Assumptions!$F$72/12</f>
        <v/>
      </c>
      <c r="I80" s="30">
        <f>Assumptions!$F$72/12</f>
        <v/>
      </c>
      <c r="J80" s="30">
        <f>Assumptions!$F$72/12</f>
        <v/>
      </c>
      <c r="K80" s="30">
        <f>Assumptions!$F$72/12</f>
        <v/>
      </c>
      <c r="L80" s="30">
        <f>Assumptions!$F$72/12</f>
        <v/>
      </c>
      <c r="M80" s="30">
        <f>Assumptions!$F$72/12</f>
        <v/>
      </c>
      <c r="N80" s="30">
        <f>Assumptions!$F$72/12</f>
        <v/>
      </c>
      <c r="O80" s="24">
        <f>SUM(C80:N80)</f>
        <v/>
      </c>
      <c r="P80" s="40" t="n"/>
    </row>
    <row r="81">
      <c r="A81" s="58" t="inlineStr">
        <is>
          <t>TOTAL PROFESSIONAL &amp; COMPLIANCE</t>
        </is>
      </c>
      <c r="B81" s="59" t="n"/>
      <c r="C81" s="60">
        <f>SUM(C73:C80)</f>
        <v/>
      </c>
      <c r="D81" s="60">
        <f>SUM(D73:D80)</f>
        <v/>
      </c>
      <c r="E81" s="60">
        <f>SUM(E73:E80)</f>
        <v/>
      </c>
      <c r="F81" s="60">
        <f>SUM(F73:F80)</f>
        <v/>
      </c>
      <c r="G81" s="60">
        <f>SUM(G73:G80)</f>
        <v/>
      </c>
      <c r="H81" s="60">
        <f>SUM(H73:H80)</f>
        <v/>
      </c>
      <c r="I81" s="60">
        <f>SUM(I73:I80)</f>
        <v/>
      </c>
      <c r="J81" s="60">
        <f>SUM(J73:J80)</f>
        <v/>
      </c>
      <c r="K81" s="60">
        <f>SUM(K73:K80)</f>
        <v/>
      </c>
      <c r="L81" s="60">
        <f>SUM(L73:L80)</f>
        <v/>
      </c>
      <c r="M81" s="60">
        <f>SUM(M73:M80)</f>
        <v/>
      </c>
      <c r="N81" s="60">
        <f>SUM(N73:N80)</f>
        <v/>
      </c>
      <c r="O81" s="60">
        <f>SUM(C81:N81)</f>
        <v/>
      </c>
      <c r="P81" s="61">
        <f>IF($O$86=0,0,$O81/$O$86)</f>
        <v/>
      </c>
    </row>
    <row r="83" ht="18" customHeight="1">
      <c r="A83" s="4" t="inlineStr">
        <is>
          <t>TOTAL OPERATING EXPENDITURE</t>
        </is>
      </c>
      <c r="B83" s="5" t="n"/>
      <c r="C83" s="5" t="n"/>
      <c r="D83" s="5" t="n"/>
      <c r="E83" s="5" t="n"/>
      <c r="F83" s="5" t="n"/>
      <c r="G83" s="5" t="n"/>
      <c r="H83" s="5" t="n"/>
      <c r="I83" s="5" t="n"/>
      <c r="J83" s="5" t="n"/>
      <c r="K83" s="5" t="n"/>
      <c r="L83" s="5" t="n"/>
      <c r="M83" s="5" t="n"/>
      <c r="N83" s="5" t="n"/>
      <c r="O83" s="5" t="n"/>
      <c r="P83" s="5" t="n"/>
    </row>
    <row r="84">
      <c r="A84" s="65" t="inlineStr">
        <is>
          <t>OPEX before contingency</t>
        </is>
      </c>
      <c r="B84" s="40" t="n"/>
      <c r="C84" s="66">
        <f>C21+C28+C37+C41+C52+C60+C70+C81</f>
        <v/>
      </c>
      <c r="D84" s="66">
        <f>D21+D28+D37+D41+D52+D60+D70+D81</f>
        <v/>
      </c>
      <c r="E84" s="66">
        <f>E21+E28+E37+E41+E52+E60+E70+E81</f>
        <v/>
      </c>
      <c r="F84" s="66">
        <f>F21+F28+F37+F41+F52+F60+F70+F81</f>
        <v/>
      </c>
      <c r="G84" s="66">
        <f>G21+G28+G37+G41+G52+G60+G70+G81</f>
        <v/>
      </c>
      <c r="H84" s="66">
        <f>H21+H28+H37+H41+H52+H60+H70+H81</f>
        <v/>
      </c>
      <c r="I84" s="66">
        <f>I21+I28+I37+I41+I52+I60+I70+I81</f>
        <v/>
      </c>
      <c r="J84" s="66">
        <f>J21+J28+J37+J41+J52+J60+J70+J81</f>
        <v/>
      </c>
      <c r="K84" s="66">
        <f>K21+K28+K37+K41+K52+K60+K70+K81</f>
        <v/>
      </c>
      <c r="L84" s="66">
        <f>L21+L28+L37+L41+L52+L60+L70+L81</f>
        <v/>
      </c>
      <c r="M84" s="66">
        <f>M21+M28+M37+M41+M52+M60+M70+M81</f>
        <v/>
      </c>
      <c r="N84" s="66">
        <f>N21+N28+N37+N41+N52+N60+N70+N81</f>
        <v/>
      </c>
      <c r="O84" s="66">
        <f>SUM(C84:N84)</f>
        <v/>
      </c>
      <c r="P84" s="40" t="n"/>
    </row>
    <row r="85">
      <c r="A85" s="67" t="inlineStr">
        <is>
          <t>Contingency</t>
        </is>
      </c>
      <c r="B85" s="41" t="inlineStr">
        <is>
          <t>% of OPEX</t>
        </is>
      </c>
      <c r="C85" s="30">
        <f>C84*Assumptions!$F$74</f>
        <v/>
      </c>
      <c r="D85" s="30">
        <f>D84*Assumptions!$F$74</f>
        <v/>
      </c>
      <c r="E85" s="30">
        <f>E84*Assumptions!$F$74</f>
        <v/>
      </c>
      <c r="F85" s="30">
        <f>F84*Assumptions!$F$74</f>
        <v/>
      </c>
      <c r="G85" s="30">
        <f>G84*Assumptions!$F$74</f>
        <v/>
      </c>
      <c r="H85" s="30">
        <f>H84*Assumptions!$F$74</f>
        <v/>
      </c>
      <c r="I85" s="30">
        <f>I84*Assumptions!$F$74</f>
        <v/>
      </c>
      <c r="J85" s="30">
        <f>J84*Assumptions!$F$74</f>
        <v/>
      </c>
      <c r="K85" s="30">
        <f>K84*Assumptions!$F$74</f>
        <v/>
      </c>
      <c r="L85" s="30">
        <f>L84*Assumptions!$F$74</f>
        <v/>
      </c>
      <c r="M85" s="30">
        <f>M84*Assumptions!$F$74</f>
        <v/>
      </c>
      <c r="N85" s="30">
        <f>N84*Assumptions!$F$74</f>
        <v/>
      </c>
      <c r="O85" s="66">
        <f>SUM(C85:N85)</f>
        <v/>
      </c>
      <c r="P85" s="40" t="n"/>
    </row>
    <row r="86" ht="20" customHeight="1">
      <c r="A86" s="68" t="inlineStr">
        <is>
          <t>TOTAL OPEX</t>
        </is>
      </c>
      <c r="B86" s="5" t="n"/>
      <c r="C86" s="43">
        <f>C84+C85</f>
        <v/>
      </c>
      <c r="D86" s="43">
        <f>D84+D85</f>
        <v/>
      </c>
      <c r="E86" s="43">
        <f>E84+E85</f>
        <v/>
      </c>
      <c r="F86" s="43">
        <f>F84+F85</f>
        <v/>
      </c>
      <c r="G86" s="43">
        <f>G84+G85</f>
        <v/>
      </c>
      <c r="H86" s="43">
        <f>H84+H85</f>
        <v/>
      </c>
      <c r="I86" s="43">
        <f>I84+I85</f>
        <v/>
      </c>
      <c r="J86" s="43">
        <f>J84+J85</f>
        <v/>
      </c>
      <c r="K86" s="43">
        <f>K84+K85</f>
        <v/>
      </c>
      <c r="L86" s="43">
        <f>L84+L85</f>
        <v/>
      </c>
      <c r="M86" s="43">
        <f>M84+M85</f>
        <v/>
      </c>
      <c r="N86" s="43">
        <f>N84+N85</f>
        <v/>
      </c>
      <c r="O86" s="43">
        <f>SUM(C86:N86)</f>
        <v/>
      </c>
      <c r="P86" s="5" t="n"/>
    </row>
    <row r="88" ht="18" customHeight="1">
      <c r="A88" s="4" t="inlineStr">
        <is>
          <t>SANITY CHECK  —  does the business cover its own costs?</t>
        </is>
      </c>
      <c r="B88" s="5" t="n"/>
      <c r="C88" s="5" t="n"/>
      <c r="D88" s="5" t="n"/>
      <c r="E88" s="5" t="n"/>
      <c r="F88" s="5" t="n"/>
      <c r="G88" s="5" t="n"/>
      <c r="H88" s="5" t="n"/>
      <c r="I88" s="5" t="n"/>
      <c r="J88" s="5" t="n"/>
      <c r="K88" s="5" t="n"/>
      <c r="L88" s="5" t="n"/>
      <c r="M88" s="5" t="n"/>
      <c r="N88" s="5" t="n"/>
      <c r="O88" s="5" t="n"/>
      <c r="P88" s="5" t="n"/>
    </row>
    <row r="89" ht="20" customHeight="1">
      <c r="A89" s="53" t="inlineStr">
        <is>
          <t>Orizuru revenue (management fees)</t>
        </is>
      </c>
      <c r="B89" s="50" t="inlineStr">
        <is>
          <t>From drivers</t>
        </is>
      </c>
      <c r="C89" s="30">
        <f>C11</f>
        <v/>
      </c>
      <c r="D89" s="30">
        <f>D11</f>
        <v/>
      </c>
      <c r="E89" s="30">
        <f>E11</f>
        <v/>
      </c>
      <c r="F89" s="30">
        <f>F11</f>
        <v/>
      </c>
      <c r="G89" s="30">
        <f>G11</f>
        <v/>
      </c>
      <c r="H89" s="30">
        <f>H11</f>
        <v/>
      </c>
      <c r="I89" s="30">
        <f>I11</f>
        <v/>
      </c>
      <c r="J89" s="30">
        <f>J11</f>
        <v/>
      </c>
      <c r="K89" s="30">
        <f>K11</f>
        <v/>
      </c>
      <c r="L89" s="30">
        <f>L11</f>
        <v/>
      </c>
      <c r="M89" s="30">
        <f>M11</f>
        <v/>
      </c>
      <c r="N89" s="30">
        <f>N11</f>
        <v/>
      </c>
      <c r="O89" s="69">
        <f>SUM(C89:N89)</f>
        <v/>
      </c>
      <c r="P89" s="40" t="n"/>
    </row>
    <row r="90" ht="20" customHeight="1">
      <c r="A90" s="53" t="inlineStr">
        <is>
          <t>Total OPEX</t>
        </is>
      </c>
      <c r="B90" s="50" t="inlineStr"/>
      <c r="C90" s="30">
        <f>C86</f>
        <v/>
      </c>
      <c r="D90" s="30">
        <f>D86</f>
        <v/>
      </c>
      <c r="E90" s="30">
        <f>E86</f>
        <v/>
      </c>
      <c r="F90" s="30">
        <f>F86</f>
        <v/>
      </c>
      <c r="G90" s="30">
        <f>G86</f>
        <v/>
      </c>
      <c r="H90" s="30">
        <f>H86</f>
        <v/>
      </c>
      <c r="I90" s="30">
        <f>I86</f>
        <v/>
      </c>
      <c r="J90" s="30">
        <f>J86</f>
        <v/>
      </c>
      <c r="K90" s="30">
        <f>K86</f>
        <v/>
      </c>
      <c r="L90" s="30">
        <f>L86</f>
        <v/>
      </c>
      <c r="M90" s="30">
        <f>M86</f>
        <v/>
      </c>
      <c r="N90" s="30">
        <f>N86</f>
        <v/>
      </c>
      <c r="O90" s="69">
        <f>SUM(C90:N90)</f>
        <v/>
      </c>
      <c r="P90" s="40" t="n"/>
    </row>
    <row r="91" ht="20" customHeight="1">
      <c r="A91" s="70" t="inlineStr">
        <is>
          <t>Operating surplus / (deficit) before tax &amp; depreciation</t>
        </is>
      </c>
      <c r="B91" s="50" t="inlineStr">
        <is>
          <t>Revenue less OPEX</t>
        </is>
      </c>
      <c r="C91" s="66">
        <f>C89-C90</f>
        <v/>
      </c>
      <c r="D91" s="66">
        <f>D89-D90</f>
        <v/>
      </c>
      <c r="E91" s="66">
        <f>E89-E90</f>
        <v/>
      </c>
      <c r="F91" s="66">
        <f>F89-F90</f>
        <v/>
      </c>
      <c r="G91" s="66">
        <f>G89-G90</f>
        <v/>
      </c>
      <c r="H91" s="66">
        <f>H89-H90</f>
        <v/>
      </c>
      <c r="I91" s="66">
        <f>I89-I90</f>
        <v/>
      </c>
      <c r="J91" s="66">
        <f>J89-J90</f>
        <v/>
      </c>
      <c r="K91" s="66">
        <f>K89-K90</f>
        <v/>
      </c>
      <c r="L91" s="66">
        <f>L89-L90</f>
        <v/>
      </c>
      <c r="M91" s="66">
        <f>M89-M90</f>
        <v/>
      </c>
      <c r="N91" s="66">
        <f>N89-N90</f>
        <v/>
      </c>
      <c r="O91" s="24">
        <f>SUM(C91:N91)</f>
        <v/>
      </c>
      <c r="P91" s="40" t="n"/>
    </row>
    <row r="92" ht="20" customHeight="1">
      <c r="A92" s="70" t="inlineStr">
        <is>
          <t>Cumulative operating cash position</t>
        </is>
      </c>
      <c r="B92" s="50" t="inlineStr">
        <is>
          <t>Running</t>
        </is>
      </c>
      <c r="C92" s="66">
        <f>C91</f>
        <v/>
      </c>
      <c r="D92" s="66">
        <f>C92+D91</f>
        <v/>
      </c>
      <c r="E92" s="66">
        <f>D92+E91</f>
        <v/>
      </c>
      <c r="F92" s="66">
        <f>E92+F91</f>
        <v/>
      </c>
      <c r="G92" s="66">
        <f>F92+G91</f>
        <v/>
      </c>
      <c r="H92" s="66">
        <f>G92+H91</f>
        <v/>
      </c>
      <c r="I92" s="66">
        <f>H92+I91</f>
        <v/>
      </c>
      <c r="J92" s="66">
        <f>I92+J91</f>
        <v/>
      </c>
      <c r="K92" s="66">
        <f>J92+K91</f>
        <v/>
      </c>
      <c r="L92" s="66">
        <f>K92+L91</f>
        <v/>
      </c>
      <c r="M92" s="66">
        <f>L92+M91</f>
        <v/>
      </c>
      <c r="N92" s="66">
        <f>M92+N91</f>
        <v/>
      </c>
      <c r="O92" s="24">
        <f>N92</f>
        <v/>
      </c>
      <c r="P92" s="40" t="n"/>
    </row>
    <row r="93" ht="20" customHeight="1">
      <c r="A93" s="53" t="inlineStr">
        <is>
          <t>OPEX as % of Orizuru revenue</t>
        </is>
      </c>
      <c r="B93" s="50" t="inlineStr">
        <is>
          <t>Lower is better</t>
        </is>
      </c>
      <c r="C93" s="46">
        <f>IF(C89=0,0,C90/C89)</f>
        <v/>
      </c>
      <c r="D93" s="46">
        <f>IF(D89=0,0,D90/D89)</f>
        <v/>
      </c>
      <c r="E93" s="46">
        <f>IF(E89=0,0,E90/E89)</f>
        <v/>
      </c>
      <c r="F93" s="46">
        <f>IF(F89=0,0,F90/F89)</f>
        <v/>
      </c>
      <c r="G93" s="46">
        <f>IF(G89=0,0,G90/G89)</f>
        <v/>
      </c>
      <c r="H93" s="46">
        <f>IF(H89=0,0,H90/H89)</f>
        <v/>
      </c>
      <c r="I93" s="46">
        <f>IF(I89=0,0,I90/I89)</f>
        <v/>
      </c>
      <c r="J93" s="46">
        <f>IF(J89=0,0,J90/J89)</f>
        <v/>
      </c>
      <c r="K93" s="46">
        <f>IF(K89=0,0,K90/K89)</f>
        <v/>
      </c>
      <c r="L93" s="46">
        <f>IF(L89=0,0,L90/L89)</f>
        <v/>
      </c>
      <c r="M93" s="46">
        <f>IF(M89=0,0,M90/M89)</f>
        <v/>
      </c>
      <c r="N93" s="46">
        <f>IF(N89=0,0,N90/N89)</f>
        <v/>
      </c>
      <c r="O93" s="27">
        <f>IF(O89=0,0,O90/O89)</f>
        <v/>
      </c>
      <c r="P93" s="40" t="n"/>
    </row>
    <row r="94" ht="20" customHeight="1">
      <c r="A94" s="53" t="inlineStr">
        <is>
          <t>OPEX per live unit</t>
        </is>
      </c>
      <c r="B94" s="50" t="inlineStr">
        <is>
          <t>Efficiency metric</t>
        </is>
      </c>
      <c r="C94" s="30">
        <f>IF(C9=0,0,C90/C9)</f>
        <v/>
      </c>
      <c r="D94" s="30">
        <f>IF(D9=0,0,D90/D9)</f>
        <v/>
      </c>
      <c r="E94" s="30">
        <f>IF(E9=0,0,E90/E9)</f>
        <v/>
      </c>
      <c r="F94" s="30">
        <f>IF(F9=0,0,F90/F9)</f>
        <v/>
      </c>
      <c r="G94" s="30">
        <f>IF(G9=0,0,G90/G9)</f>
        <v/>
      </c>
      <c r="H94" s="30">
        <f>IF(H9=0,0,H90/H9)</f>
        <v/>
      </c>
      <c r="I94" s="30">
        <f>IF(I9=0,0,I90/I9)</f>
        <v/>
      </c>
      <c r="J94" s="30">
        <f>IF(J9=0,0,J90/J9)</f>
        <v/>
      </c>
      <c r="K94" s="30">
        <f>IF(K9=0,0,K90/K9)</f>
        <v/>
      </c>
      <c r="L94" s="30">
        <f>IF(L9=0,0,L90/L9)</f>
        <v/>
      </c>
      <c r="M94" s="30">
        <f>IF(M9=0,0,M90/M9)</f>
        <v/>
      </c>
      <c r="N94" s="30">
        <f>IF(N9=0,0,N90/N9)</f>
        <v/>
      </c>
      <c r="O94" s="24">
        <f>IF(N9=0,0,N90/N9)</f>
        <v/>
      </c>
      <c r="P94" s="40" t="n"/>
    </row>
  </sheetData>
  <mergeCells count="13">
    <mergeCell ref="A5:P5"/>
    <mergeCell ref="A1:P1"/>
    <mergeCell ref="A23:P23"/>
    <mergeCell ref="A88:P88"/>
    <mergeCell ref="A39:P39"/>
    <mergeCell ref="A83:P83"/>
    <mergeCell ref="A62:P62"/>
    <mergeCell ref="A30:P30"/>
    <mergeCell ref="A54:P54"/>
    <mergeCell ref="A72:P72"/>
    <mergeCell ref="A15:P15"/>
    <mergeCell ref="A43:P43"/>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44" customWidth="1" min="1" max="1"/>
    <col width="17" customWidth="1" min="2" max="2"/>
    <col width="17" customWidth="1" min="3" max="3"/>
    <col width="17" customWidth="1" min="4" max="4"/>
    <col width="3" customWidth="1" min="5" max="5"/>
    <col width="3" customWidth="1" min="6" max="6"/>
    <col width="62" customWidth="1" min="7" max="7"/>
  </cols>
  <sheetData>
    <row r="1" ht="26" customHeight="1">
      <c r="A1" s="1" t="inlineStr">
        <is>
          <t>MARKETING OPTION 1 vs OPTION 2 — THE MONTH-3 DECISION</t>
        </is>
      </c>
      <c r="B1" s="2" t="n"/>
      <c r="C1" s="2" t="n"/>
      <c r="D1" s="2" t="n"/>
      <c r="E1" s="2" t="n"/>
      <c r="F1" s="2" t="n"/>
      <c r="G1" s="2" t="n"/>
    </row>
    <row r="2" ht="16" customHeight="1">
      <c r="A2" s="3" t="inlineStr">
        <is>
          <t>Both options run in parallel for Months 1–2 per HJ. This tab is what you use to pick one.</t>
        </is>
      </c>
      <c r="B2" s="2" t="n"/>
      <c r="C2" s="2" t="n"/>
      <c r="D2" s="2" t="n"/>
      <c r="E2" s="2" t="n"/>
      <c r="F2" s="2" t="n"/>
      <c r="G2" s="2" t="n"/>
    </row>
    <row r="4" ht="18" customHeight="1">
      <c r="A4" s="4" t="inlineStr">
        <is>
          <t>HEAD-TO-HEAD, STEADY-STATE MONTHLY COST</t>
        </is>
      </c>
      <c r="B4" s="5" t="n"/>
      <c r="C4" s="5" t="n"/>
      <c r="D4" s="5" t="n"/>
      <c r="E4" s="5" t="n"/>
      <c r="F4" s="5" t="n"/>
      <c r="G4" s="5" t="n"/>
    </row>
    <row r="5" ht="26" customHeight="1">
      <c r="A5" s="20" t="inlineStr">
        <is>
          <t>Component</t>
        </is>
      </c>
      <c r="B5" s="20" t="inlineStr">
        <is>
          <t>Option 1 — Fully online</t>
        </is>
      </c>
      <c r="C5" s="20" t="inlineStr">
        <is>
          <t>Option 2 — Remote office</t>
        </is>
      </c>
      <c r="D5" s="20" t="inlineStr">
        <is>
          <t>Difference</t>
        </is>
      </c>
      <c r="E5" s="7" t="n"/>
      <c r="F5" s="7" t="n"/>
      <c r="G5" s="20" t="inlineStr">
        <is>
          <t>Comment</t>
        </is>
      </c>
    </row>
    <row r="6" ht="24" customHeight="1">
      <c r="A6" s="38" t="inlineStr">
        <is>
          <t>Team cost</t>
        </is>
      </c>
      <c r="B6" s="30">
        <f>Assumptions!$F$25*Assumptions!$F$26</f>
        <v/>
      </c>
      <c r="C6" s="30">
        <f>Assumptions!$F$31*Assumptions!$F$32</f>
        <v/>
      </c>
      <c r="D6" s="30">
        <f>B6-C6</f>
        <v/>
      </c>
      <c r="E6" s="40" t="n"/>
      <c r="F6" s="40" t="n"/>
      <c r="G6" s="25" t="inlineStr">
        <is>
          <t>Option 2 buys roughly double the headcount for less money — offshore rates outside the UAE.</t>
        </is>
      </c>
    </row>
    <row r="7" ht="24" customHeight="1">
      <c r="A7" s="38" t="inlineStr">
        <is>
          <t>Coworking / premises rent</t>
        </is>
      </c>
      <c r="B7" s="30">
        <f>0</f>
        <v/>
      </c>
      <c r="C7" s="30">
        <f>Assumptions!$F$33</f>
        <v/>
      </c>
      <c r="D7" s="30">
        <f>B7-C7</f>
        <v/>
      </c>
      <c r="E7" s="40" t="n"/>
      <c r="F7" s="40" t="n"/>
      <c r="G7" s="25" t="inlineStr">
        <is>
          <t>Option 1 has no premises. This is the single line that erodes Option 2's labour-cost advantage.</t>
        </is>
      </c>
    </row>
    <row r="8" ht="24" customHeight="1">
      <c r="A8" s="38" t="inlineStr">
        <is>
          <t>Local internet, utilities &amp; equipment</t>
        </is>
      </c>
      <c r="B8" s="30">
        <f>0</f>
        <v/>
      </c>
      <c r="C8" s="30">
        <f>Assumptions!$F$34</f>
        <v/>
      </c>
      <c r="D8" s="30">
        <f>B8-C8</f>
        <v/>
      </c>
      <c r="E8" s="40" t="n"/>
      <c r="F8" s="40" t="n"/>
      <c r="G8" s="25" t="inlineStr">
        <is>
          <t>Physical office overhead.</t>
        </is>
      </c>
    </row>
    <row r="9" ht="24" customHeight="1">
      <c r="A9" s="38" t="inlineStr">
        <is>
          <t>On-site supervisor / team lead</t>
        </is>
      </c>
      <c r="B9" s="30">
        <f>Assumptions!$F$29</f>
        <v/>
      </c>
      <c r="C9" s="30">
        <f>Assumptions!$F$35</f>
        <v/>
      </c>
      <c r="D9" s="30">
        <f>B9-C9</f>
        <v/>
      </c>
      <c r="E9" s="40" t="n"/>
      <c r="F9" s="40" t="n"/>
      <c r="G9" s="25" t="inlineStr">
        <is>
          <t>Option 1 needs light remote QA; Option 2 needs someone in the room.</t>
        </is>
      </c>
    </row>
    <row r="10" ht="24" customHeight="1">
      <c r="A10" s="38" t="inlineStr">
        <is>
          <t>Digital ads &amp; lead generation</t>
        </is>
      </c>
      <c r="B10" s="30">
        <f>Assumptions!$F$27</f>
        <v/>
      </c>
      <c r="C10" s="30">
        <f>Assumptions!$F$36</f>
        <v/>
      </c>
      <c r="D10" s="30">
        <f>B10-C10</f>
        <v/>
      </c>
      <c r="E10" s="40" t="n"/>
      <c r="F10" s="40" t="n"/>
      <c r="G10" s="25" t="inlineStr">
        <is>
          <t>Option 1 leans on paid leads; Option 2 leans on manual prospecting volume.</t>
        </is>
      </c>
    </row>
    <row r="11" ht="24" customHeight="1">
      <c r="A11" s="38" t="inlineStr">
        <is>
          <t>Outreach tooling &amp; CRM</t>
        </is>
      </c>
      <c r="B11" s="30">
        <f>Assumptions!$F$28</f>
        <v/>
      </c>
      <c r="C11" s="30">
        <f>0</f>
        <v/>
      </c>
      <c r="D11" s="30">
        <f>B11-C11</f>
        <v/>
      </c>
      <c r="E11" s="40" t="n"/>
      <c r="F11" s="40" t="n"/>
      <c r="G11" s="25" t="inlineStr">
        <is>
          <t>Option 1 is tooling-dependent by design.</t>
        </is>
      </c>
    </row>
    <row r="12" ht="24" customHeight="1">
      <c r="A12" s="38" t="inlineStr">
        <is>
          <t>Offshore contracting / compliance</t>
        </is>
      </c>
      <c r="B12" s="30">
        <f>0</f>
        <v/>
      </c>
      <c r="C12" s="30">
        <f>Assumptions!$F$37</f>
        <v/>
      </c>
      <c r="D12" s="30">
        <f>B12-C12</f>
        <v/>
      </c>
      <c r="E12" s="40" t="n"/>
      <c r="F12" s="40" t="n"/>
      <c r="G12" s="25" t="inlineStr">
        <is>
          <t>Engaging staff outside the UAE needs a compliant route. Not in the original brief — flagged, not hidden.</t>
        </is>
      </c>
    </row>
    <row r="13" ht="20" customHeight="1">
      <c r="A13" s="42" t="inlineStr">
        <is>
          <t>TOTAL FIXED MONTHLY COST</t>
        </is>
      </c>
      <c r="B13" s="43">
        <f>SUM(B6:B12)</f>
        <v/>
      </c>
      <c r="C13" s="43">
        <f>SUM(C6:C12)</f>
        <v/>
      </c>
      <c r="D13" s="43">
        <f>SUM(D6:D12)</f>
        <v/>
      </c>
      <c r="E13" s="5" t="n"/>
      <c r="F13" s="5" t="n"/>
      <c r="G13" s="5" t="n"/>
    </row>
    <row r="14">
      <c r="A14" s="18" t="inlineStr">
        <is>
          <t>Headcount</t>
        </is>
      </c>
      <c r="B14" s="71">
        <f>Assumptions!$F$25</f>
        <v/>
      </c>
      <c r="C14" s="71">
        <f>Assumptions!$F$31</f>
        <v/>
      </c>
      <c r="D14" s="71">
        <f>B14-C14</f>
        <v/>
      </c>
      <c r="G14" s="15" t="inlineStr">
        <is>
          <t>Both at 4 hours per day per HJ.</t>
        </is>
      </c>
    </row>
    <row r="15" ht="26" customHeight="1">
      <c r="A15" s="18" t="inlineStr">
        <is>
          <t>Cost per head</t>
        </is>
      </c>
      <c r="B15" s="72">
        <f>IF(B14=0,0,B13/B14)</f>
        <v/>
      </c>
      <c r="C15" s="72">
        <f>IF(C14=0,0,C13/C14)</f>
        <v/>
      </c>
      <c r="D15" s="72">
        <f>B15-C15</f>
        <v/>
      </c>
      <c r="G15" s="73" t="inlineStr">
        <is>
          <t>All-in cost of one working person, including their share of premises and tooling. This is the number that actually decides it.</t>
        </is>
      </c>
    </row>
    <row r="17" ht="18" customHeight="1">
      <c r="A17" s="4" t="inlineStr">
        <is>
          <t>BREAK-EVEN  —  how many units must each option sign to pay for itself?</t>
        </is>
      </c>
      <c r="B17" s="5" t="n"/>
      <c r="C17" s="5" t="n"/>
      <c r="D17" s="5" t="n"/>
      <c r="E17" s="5" t="n"/>
      <c r="F17" s="5" t="n"/>
      <c r="G17" s="5" t="n"/>
    </row>
    <row r="18">
      <c r="A18" s="18" t="inlineStr">
        <is>
          <t>Orizuru revenue per live unit per month</t>
        </is>
      </c>
      <c r="B18" s="74">
        <f>Assumptions!$F$16</f>
        <v/>
      </c>
      <c r="G18" s="15" t="inlineStr">
        <is>
          <t>From the Assumptions tab.</t>
        </is>
      </c>
    </row>
    <row r="19" ht="26" customHeight="1">
      <c r="A19" s="8" t="inlineStr">
        <is>
          <t>Units needed to cover the option's fixed cost</t>
        </is>
      </c>
      <c r="B19" s="75">
        <f>IF($B$18=0,0,B13/$B$18)</f>
        <v/>
      </c>
      <c r="C19" s="75">
        <f>IF($B$18=0,0,C13/$B$18)</f>
        <v/>
      </c>
      <c r="G19" s="73" t="inlineStr">
        <is>
          <t>Each option only has to sign this many units to wash its own face. Both numbers are small — which is why running both for two months is a cheap experiment, not a risk.</t>
        </is>
      </c>
    </row>
    <row r="21" ht="18" customHeight="1">
      <c r="A21" s="4" t="inlineStr">
        <is>
          <t>COST OF THE 2-MONTH PARALLEL RUN</t>
        </is>
      </c>
      <c r="B21" s="5" t="n"/>
      <c r="C21" s="5" t="n"/>
      <c r="D21" s="5" t="n"/>
      <c r="E21" s="5" t="n"/>
      <c r="F21" s="5" t="n"/>
      <c r="G21" s="5" t="n"/>
    </row>
    <row r="22">
      <c r="A22" s="18" t="inlineStr">
        <is>
          <t>Both options, Months 1–2 combined</t>
        </is>
      </c>
      <c r="B22" s="72">
        <f>(B13+C13)*Assumptions!$B$7</f>
        <v/>
      </c>
      <c r="G22" s="15" t="inlineStr">
        <is>
          <t>The total price of the experiment HJ described.</t>
        </is>
      </c>
    </row>
    <row r="23">
      <c r="A23" s="18" t="inlineStr">
        <is>
          <t>Incremental cost vs running the cheaper option alone</t>
        </is>
      </c>
      <c r="B23" s="72">
        <f>(MAX(B13,C13))*Assumptions!$B$7</f>
        <v/>
      </c>
      <c r="G23" s="73" t="inlineStr">
        <is>
          <t>What the second option costs you on top. Judge the experiment against this, not the gross figure.</t>
        </is>
      </c>
    </row>
    <row r="24" ht="26" customHeight="1">
      <c r="A24" s="8" t="inlineStr">
        <is>
          <t>Units the experiment must produce to justify itself</t>
        </is>
      </c>
      <c r="B24" s="75">
        <f>IF($B$18=0,0,B23/$B$18)</f>
        <v/>
      </c>
      <c r="G24" s="73" t="inlineStr">
        <is>
          <t>If the losing option signs at least this many units in two months, the experiment paid for itself regardless of which one you keep.</t>
        </is>
      </c>
    </row>
    <row r="26" ht="18" customHeight="1">
      <c r="A26" s="4" t="inlineStr">
        <is>
          <t>WHAT TO MEASURE BEFORE YOU DECIDE IN MONTH 3</t>
        </is>
      </c>
      <c r="B26" s="5" t="n"/>
      <c r="C26" s="5" t="n"/>
      <c r="D26" s="5" t="n"/>
      <c r="E26" s="5" t="n"/>
      <c r="F26" s="5" t="n"/>
      <c r="G26" s="5" t="n"/>
    </row>
    <row r="27" ht="19" customHeight="1">
      <c r="A27" s="47" t="inlineStr">
        <is>
          <t>•  Units signed per option — the only metric that ultimately matters.</t>
        </is>
      </c>
    </row>
    <row r="28" ht="19" customHeight="1">
      <c r="A28" s="47" t="inlineStr">
        <is>
          <t>•  Cost per signed unit = the option's 2-month cost / units it signed. Compare directly.</t>
        </is>
      </c>
    </row>
    <row r="29" ht="19" customHeight="1">
      <c r="A29" s="47" t="inlineStr">
        <is>
          <t>•  Owner meetings booked per person per week — tells you whether the difference is effort or conversion.</t>
        </is>
      </c>
    </row>
    <row r="30" ht="19" customHeight="1">
      <c r="A30" s="47" t="inlineStr">
        <is>
          <t>•  Lead-to-meeting and meeting-to-signature conversion rates, tracked separately per option.</t>
        </is>
      </c>
    </row>
    <row r="31" ht="19" customHeight="1">
      <c r="A31" s="47" t="inlineStr">
        <is>
          <t>•  Quality of units signed: a team that signs cheap studios in weak buildings is not outperforming.</t>
        </is>
      </c>
    </row>
    <row r="32" ht="19" customHeight="1">
      <c r="A32" s="47" t="inlineStr">
        <is>
          <t>•  Attrition and reliability — Option 2's larger offshore team carries more people risk.</t>
        </is>
      </c>
    </row>
    <row r="33" ht="19" customHeight="1">
      <c r="A33" s="47" t="inlineStr">
        <is>
          <t>•  Language and time-zone fit with Dubai property owners. Under-weighted and it decides more deals than price does.</t>
        </is>
      </c>
    </row>
    <row r="35" ht="18" customHeight="1">
      <c r="A35" s="4" t="inlineStr">
        <is>
          <t>READ-ACROSS</t>
        </is>
      </c>
      <c r="B35" s="5" t="n"/>
      <c r="C35" s="5" t="n"/>
      <c r="D35" s="5" t="n"/>
      <c r="E35" s="5" t="n"/>
      <c r="F35" s="5" t="n"/>
      <c r="G35" s="5" t="n"/>
    </row>
    <row r="36" ht="32" customHeight="1">
      <c r="A36" s="47" t="inlineStr">
        <is>
          <t>•  Option 2 typically wins on raw cost per head even after paying coworking rent, because it buys 4–6 people for roughly what 2–4 cost online. Its risk is not cost — it is supervision and consistency.</t>
        </is>
      </c>
    </row>
    <row r="37" ht="32" customHeight="1">
      <c r="A37" s="47" t="inlineStr">
        <is>
          <t>•  Option 1's real cost is the ads budget, not the salaries. Strip the ad spend out and it looks cheap, but a fully-online team with no lead flow signs nothing.</t>
        </is>
      </c>
    </row>
    <row r="38" ht="32" customHeight="1">
      <c r="A38" s="47" t="inlineStr">
        <is>
          <t>•  The 2% trailing commission applies identically to both options, so it does not affect the choice — but it does mean marketing cost keeps growing with the portfolio long after the team is fixed. See the OPEX Monthly tab.</t>
        </is>
      </c>
    </row>
    <row r="39" ht="19" customHeight="1">
      <c r="A39" s="47" t="inlineStr">
        <is>
          <t>•  Whatever you choose, the decision should be made on cost per SIGNED UNIT, not on total spend.</t>
        </is>
      </c>
    </row>
  </sheetData>
  <mergeCells count="18">
    <mergeCell ref="A32:G32"/>
    <mergeCell ref="A36:G36"/>
    <mergeCell ref="A1:G1"/>
    <mergeCell ref="A17:G17"/>
    <mergeCell ref="A27:G27"/>
    <mergeCell ref="A31:G31"/>
    <mergeCell ref="A21:G21"/>
    <mergeCell ref="A39:G39"/>
    <mergeCell ref="A35:G35"/>
    <mergeCell ref="A4:G4"/>
    <mergeCell ref="A26:G26"/>
    <mergeCell ref="A30:G30"/>
    <mergeCell ref="A2:G2"/>
    <mergeCell ref="A38:G38"/>
    <mergeCell ref="A29:G29"/>
    <mergeCell ref="A33:G33"/>
    <mergeCell ref="A28:G28"/>
    <mergeCell ref="A37:G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30" customWidth="1" min="1" max="1"/>
    <col width="22" customWidth="1" min="2" max="2"/>
    <col width="8" customWidth="1" min="3" max="3"/>
    <col width="18" customWidth="1" min="4" max="4"/>
    <col width="17" customWidth="1" min="5" max="5"/>
    <col width="17" customWidth="1" min="6" max="6"/>
    <col width="66" customWidth="1" min="7" max="7"/>
  </cols>
  <sheetData>
    <row r="1" ht="26" customHeight="1">
      <c r="A1" s="1" t="inlineStr">
        <is>
          <t>AI SUBSCRIPTIONS — DETAIL</t>
        </is>
      </c>
      <c r="B1" s="2" t="n"/>
      <c r="C1" s="2" t="n"/>
      <c r="D1" s="2" t="n"/>
      <c r="E1" s="2" t="n"/>
      <c r="F1" s="2" t="n"/>
      <c r="G1" s="2" t="n"/>
    </row>
    <row r="2" ht="16" customHeight="1">
      <c r="A2" s="3" t="inlineStr">
        <is>
          <t>HJ item 5. Feeds the 'AI subscriptions' line in the OPEX model. USD converted at the pegged AED rate.</t>
        </is>
      </c>
      <c r="B2" s="2" t="n"/>
      <c r="C2" s="2" t="n"/>
      <c r="D2" s="2" t="n"/>
      <c r="E2" s="2" t="n"/>
      <c r="F2" s="2" t="n"/>
      <c r="G2" s="2" t="n"/>
    </row>
    <row r="4">
      <c r="A4" s="18" t="inlineStr">
        <is>
          <t>USD/AED peg</t>
        </is>
      </c>
      <c r="B4" s="76" t="n">
        <v>3.6725</v>
      </c>
      <c r="C4" s="15" t="inlineStr">
        <is>
          <t>AED is pegged to USD at 3.6725. Fixed, so no FX risk on these subscriptions.</t>
        </is>
      </c>
    </row>
    <row r="6" ht="30" customHeight="1">
      <c r="A6" s="20" t="inlineStr">
        <is>
          <t>Tool</t>
        </is>
      </c>
      <c r="B6" s="20" t="inlineStr">
        <is>
          <t>Plan</t>
        </is>
      </c>
      <c r="C6" s="20" t="inlineStr">
        <is>
          <t>Seats</t>
        </is>
      </c>
      <c r="D6" s="20" t="inlineStr">
        <is>
          <t>Price/seat (USD, monthly)</t>
        </is>
      </c>
      <c r="E6" s="20" t="inlineStr">
        <is>
          <t>Monthly cost (AED)</t>
        </is>
      </c>
      <c r="F6" s="20" t="inlineStr">
        <is>
          <t>Annual cost (AED)</t>
        </is>
      </c>
      <c r="G6" s="20" t="inlineStr">
        <is>
          <t>What it does for Orizuru</t>
        </is>
      </c>
    </row>
    <row r="7" ht="24" customHeight="1">
      <c r="A7" s="38" t="inlineStr">
        <is>
          <t>Claude</t>
        </is>
      </c>
      <c r="B7" s="38" t="inlineStr">
        <is>
          <t>Max (5x)</t>
        </is>
      </c>
      <c r="C7" s="77" t="n">
        <v>1</v>
      </c>
      <c r="D7" s="78" t="n">
        <v>100</v>
      </c>
      <c r="E7" s="30">
        <f>C7*D7*$B$4</f>
        <v/>
      </c>
      <c r="F7" s="30">
        <f>E7*12</f>
        <v/>
      </c>
      <c r="G7" s="25" t="inlineStr">
        <is>
          <t>Core workhorse: owner proposals, management contracts, DET compliance drafting, financial reporting, guest-comms tone-of-voice.</t>
        </is>
      </c>
    </row>
    <row r="8" ht="24" customHeight="1">
      <c r="A8" s="38" t="inlineStr">
        <is>
          <t>Claude</t>
        </is>
      </c>
      <c r="B8" s="38" t="inlineStr">
        <is>
          <t>Pro</t>
        </is>
      </c>
      <c r="C8" s="77" t="n">
        <v>2</v>
      </c>
      <c r="D8" s="78" t="n">
        <v>20</v>
      </c>
      <c r="E8" s="30">
        <f>C8*D8*$B$4</f>
        <v/>
      </c>
      <c r="F8" s="30">
        <f>E8*12</f>
        <v/>
      </c>
      <c r="G8" s="25" t="inlineStr">
        <is>
          <t>Seats for the operations staff member and the marketing team lead.</t>
        </is>
      </c>
    </row>
    <row r="9" ht="24" customHeight="1">
      <c r="A9" s="38" t="inlineStr">
        <is>
          <t>ChatGPT</t>
        </is>
      </c>
      <c r="B9" s="38" t="inlineStr">
        <is>
          <t>Business</t>
        </is>
      </c>
      <c r="C9" s="77" t="n">
        <v>2</v>
      </c>
      <c r="D9" s="78" t="n">
        <v>25</v>
      </c>
      <c r="E9" s="30">
        <f>C9*D9*$B$4</f>
        <v/>
      </c>
      <c r="F9" s="30">
        <f>E9*12</f>
        <v/>
      </c>
      <c r="G9" s="25" t="inlineStr">
        <is>
          <t>Second-opinion model plus image generation for listing and social content.</t>
        </is>
      </c>
    </row>
    <row r="10" ht="24" customHeight="1">
      <c r="A10" s="38" t="inlineStr">
        <is>
          <t>Google Gemini</t>
        </is>
      </c>
      <c r="B10" s="38" t="inlineStr">
        <is>
          <t>AI Pro (via Workspace)</t>
        </is>
      </c>
      <c r="C10" s="77" t="n">
        <v>2</v>
      </c>
      <c r="D10" s="78" t="n">
        <v>20</v>
      </c>
      <c r="E10" s="30">
        <f>C10*D10*$B$4</f>
        <v/>
      </c>
      <c r="F10" s="30">
        <f>E10*12</f>
        <v/>
      </c>
      <c r="G10" s="25" t="inlineStr">
        <is>
          <t>Long-context document review and Sheets/Docs automation for owner reporting.</t>
        </is>
      </c>
    </row>
    <row r="11" ht="24" customHeight="1">
      <c r="A11" s="38" t="inlineStr">
        <is>
          <t>Perplexity</t>
        </is>
      </c>
      <c r="B11" s="38" t="inlineStr">
        <is>
          <t>Pro</t>
        </is>
      </c>
      <c r="C11" s="77" t="n">
        <v>1</v>
      </c>
      <c r="D11" s="78" t="n">
        <v>20</v>
      </c>
      <c r="E11" s="30">
        <f>C11*D11*$B$4</f>
        <v/>
      </c>
      <c r="F11" s="30">
        <f>E11*12</f>
        <v/>
      </c>
      <c r="G11" s="25" t="inlineStr">
        <is>
          <t>Live comparable-rate research: what competing units in the same tower are charging tonight.</t>
        </is>
      </c>
    </row>
    <row r="12" ht="24" customHeight="1">
      <c r="A12" s="38" t="inlineStr">
        <is>
          <t>Canva</t>
        </is>
      </c>
      <c r="B12" s="38" t="inlineStr">
        <is>
          <t>Pro / Teams</t>
        </is>
      </c>
      <c r="C12" s="77" t="n">
        <v>2</v>
      </c>
      <c r="D12" s="78" t="n">
        <v>15</v>
      </c>
      <c r="E12" s="30">
        <f>C12*D12*$B$4</f>
        <v/>
      </c>
      <c r="F12" s="30">
        <f>E12*12</f>
        <v/>
      </c>
      <c r="G12" s="25" t="inlineStr">
        <is>
          <t>Listing graphics, owner pitch decks, social content at volume without a designer.</t>
        </is>
      </c>
    </row>
    <row r="13" ht="24" customHeight="1">
      <c r="A13" s="38" t="inlineStr">
        <is>
          <t>PMS AI guest-messaging add-on</t>
        </is>
      </c>
      <c r="B13" s="38" t="inlineStr">
        <is>
          <t>Per-property tier</t>
        </is>
      </c>
      <c r="C13" s="77" t="n">
        <v>1</v>
      </c>
      <c r="D13" s="78" t="n">
        <v>49</v>
      </c>
      <c r="E13" s="30">
        <f>C13*D13*$B$4</f>
        <v/>
      </c>
      <c r="F13" s="30">
        <f>E13*12</f>
        <v/>
      </c>
      <c r="G13" s="25" t="inlineStr">
        <is>
          <t>Auto-responds to routine guest questions 24/7. Directly supports the 24/7 support promise in the Business Profile.</t>
        </is>
      </c>
    </row>
    <row r="14" ht="24" customHeight="1">
      <c r="A14" s="38" t="inlineStr">
        <is>
          <t>AI transcription / meeting notes</t>
        </is>
      </c>
      <c r="B14" s="38" t="inlineStr">
        <is>
          <t>Standard</t>
        </is>
      </c>
      <c r="C14" s="77" t="n">
        <v>1</v>
      </c>
      <c r="D14" s="78" t="n">
        <v>18</v>
      </c>
      <c r="E14" s="30">
        <f>C14*D14*$B$4</f>
        <v/>
      </c>
      <c r="F14" s="30">
        <f>E14*12</f>
        <v/>
      </c>
      <c r="G14" s="25" t="inlineStr">
        <is>
          <t>Owner calls and site visits captured without manual note-taking.</t>
        </is>
      </c>
    </row>
    <row r="15" ht="24" customHeight="1">
      <c r="A15" s="38" t="inlineStr">
        <is>
          <t>Buffer / social scheduling with AI</t>
        </is>
      </c>
      <c r="B15" s="38" t="inlineStr">
        <is>
          <t>Team</t>
        </is>
      </c>
      <c r="C15" s="77" t="n">
        <v>1</v>
      </c>
      <c r="D15" s="78" t="n">
        <v>12</v>
      </c>
      <c r="E15" s="30">
        <f>C15*D15*$B$4</f>
        <v/>
      </c>
      <c r="F15" s="30">
        <f>E15*12</f>
        <v/>
      </c>
      <c r="G15" s="25" t="inlineStr">
        <is>
          <t>Schedules the marketing team's output across channels.</t>
        </is>
      </c>
    </row>
    <row r="16" ht="20" customHeight="1">
      <c r="A16" s="42" t="inlineStr">
        <is>
          <t>TOTAL — AI SUBSCRIPTIONS</t>
        </is>
      </c>
      <c r="B16" s="5" t="n"/>
      <c r="C16" s="5" t="n"/>
      <c r="D16" s="5" t="n"/>
      <c r="E16" s="43">
        <f>SUM(E7:E15)</f>
        <v/>
      </c>
      <c r="F16" s="43">
        <f>SUM(F7:F15)</f>
        <v/>
      </c>
      <c r="G16" s="5" t="n"/>
    </row>
    <row r="18" ht="40" customHeight="1">
      <c r="A18" s="73" t="inlineStr">
        <is>
          <t>This is the Base case. In the OPEX model, the Low case assumes a trimmed stack (Claude Max + one assistant seat only) and the High case assumes the full stack plus additional seats as the marketing team scales. Edit seats and prices above and the Base figure flows straight through.</t>
        </is>
      </c>
    </row>
  </sheetData>
  <mergeCells count="3">
    <mergeCell ref="A2:G2"/>
    <mergeCell ref="A1:G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2026-08-04T07:36:40Z</dcterms:created>
  <dcterms:modified xsi:type="dcterms:W3CDTF">2026-08-04T07:36:40Z</dcterms:modified>
</cp:coreProperties>
</file>
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unding Summary" sheetId="2" state="visible" r:id="rId2"/>
    <sheet xmlns:r="http://schemas.openxmlformats.org/officeDocument/2006/relationships" name="Financial Summary" sheetId="3" state="visible" r:id="rId3"/>
    <sheet xmlns:r="http://schemas.openxmlformats.org/officeDocument/2006/relationships" name="Assumptions" sheetId="4" state="visible" r:id="rId4"/>
    <sheet xmlns:r="http://schemas.openxmlformats.org/officeDocument/2006/relationships" name="CAPEX Summary" sheetId="5" state="visible" r:id="rId5"/>
    <sheet xmlns:r="http://schemas.openxmlformats.org/officeDocument/2006/relationships" name="CAPEX Detail" sheetId="6" state="visible" r:id="rId6"/>
    <sheet xmlns:r="http://schemas.openxmlformats.org/officeDocument/2006/relationships" name="Unit Setup (1 Unit)" sheetId="7" state="visible" r:id="rId7"/>
    <sheet xmlns:r="http://schemas.openxmlformats.org/officeDocument/2006/relationships" name="OPEX Summary" sheetId="8" state="visible" r:id="rId8"/>
    <sheet xmlns:r="http://schemas.openxmlformats.org/officeDocument/2006/relationships" name="OPEX Monthly" sheetId="9" state="visible" r:id="rId9"/>
    <sheet xmlns:r="http://schemas.openxmlformats.org/officeDocument/2006/relationships" name="Marketing Comparison" sheetId="10" state="visible" r:id="rId10"/>
    <sheet xmlns:r="http://schemas.openxmlformats.org/officeDocument/2006/relationships" name="AI Subscriptions" sheetId="11" state="visible" r:id="rId11"/>
  </sheets>
  <definedNames/>
  <calcPr calcId="124519" fullCalcOnLoad="1"/>
</workbook>
</file>

<file path=xl/styles.xml><?xml version="1.0" encoding="utf-8"?>
<styleSheet xmlns="http://schemas.openxmlformats.org/spreadsheetml/2006/main">
  <numFmts count="7">
    <numFmt numFmtId="164" formatCode="#,##0;(#,##0);-"/>
    <numFmt numFmtId="165" formatCode="0.0%"/>
    <numFmt numFmtId="166" formatCode="0.0000"/>
    <numFmt numFmtId="167" formatCode="#,##0.00;(#,##0.00);-"/>
    <numFmt numFmtId="168" formatCode="#,##0.0;(#,##0.0);-"/>
    <numFmt numFmtId="169" formatCode="0.0&quot;x&quot;"/>
    <numFmt numFmtId="170" formatCode="0.00&quot;x&quot;"/>
  </numFmts>
  <fonts count="25">
    <font>
      <name val="Calibri"/>
      <family val="2"/>
      <color theme="1"/>
      <sz val="11"/>
      <scheme val="minor"/>
    </font>
    <font>
      <name val="Arial"/>
      <b val="1"/>
      <color rgb="00FFFFFF"/>
      <sz val="14"/>
    </font>
    <font>
      <name val="Arial"/>
      <color rgb="00FFFFFF"/>
      <sz val="9"/>
    </font>
    <font>
      <name val="Arial"/>
      <b val="1"/>
      <color rgb="00FFFFFF"/>
      <sz val="9"/>
    </font>
    <font>
      <name val="Arial"/>
      <sz val="10"/>
    </font>
    <font>
      <name val="Arial"/>
      <color rgb="000000FF"/>
      <sz val="10"/>
    </font>
    <font>
      <name val="Arial"/>
      <i val="1"/>
      <color rgb="00595959"/>
      <sz val="8"/>
    </font>
    <font>
      <name val="Arial"/>
      <b val="1"/>
      <sz val="10"/>
    </font>
    <font>
      <name val="Arial"/>
      <b val="1"/>
      <color rgb="00FFFFFF"/>
      <sz val="11"/>
    </font>
    <font>
      <name val="Arial"/>
      <b val="1"/>
      <color rgb="00FFFFFF"/>
      <sz val="10"/>
    </font>
    <font>
      <name val="Arial"/>
      <color rgb="00008000"/>
      <sz val="10"/>
    </font>
    <font>
      <name val="Arial"/>
      <b val="1"/>
      <sz val="9"/>
    </font>
    <font>
      <name val="Arial"/>
      <sz val="9"/>
    </font>
    <font>
      <name val="Arial"/>
      <b val="1"/>
      <sz val="11"/>
    </font>
    <font>
      <name val="Arial"/>
      <b val="1"/>
      <color rgb="000000FF"/>
      <sz val="11"/>
    </font>
    <font>
      <name val="Arial"/>
      <color rgb="00BFBFBF"/>
      <sz val="8"/>
    </font>
    <font>
      <name val="Arial"/>
      <color rgb="00808080"/>
      <sz val="9"/>
    </font>
    <font>
      <name val="Arial"/>
      <b val="1"/>
      <color rgb="000000FF"/>
      <sz val="10"/>
    </font>
    <font>
      <name val="Arial"/>
      <b val="1"/>
      <color rgb="00008000"/>
      <sz val="10"/>
    </font>
    <font>
      <name val="Arial"/>
      <color rgb="00000000"/>
      <sz val="10"/>
    </font>
    <font>
      <name val="Arial"/>
      <color rgb="00008000"/>
      <sz val="9"/>
    </font>
    <font>
      <name val="Arial"/>
      <color rgb="00000000"/>
      <sz val="9"/>
    </font>
    <font>
      <name val="Arial"/>
      <b val="1"/>
      <color rgb="00000000"/>
      <sz val="10"/>
    </font>
    <font>
      <name val="Arial"/>
      <b val="1"/>
      <i val="1"/>
      <sz val="9"/>
    </font>
    <font>
      <name val="Arial"/>
      <b val="1"/>
      <color rgb="00000000"/>
      <sz val="9"/>
    </font>
  </fonts>
  <fills count="10">
    <fill>
      <patternFill/>
    </fill>
    <fill>
      <patternFill patternType="gray125"/>
    </fill>
    <fill>
      <patternFill patternType="solid">
        <fgColor rgb="001F3352"/>
      </patternFill>
    </fill>
    <fill>
      <patternFill patternType="solid">
        <fgColor rgb="006B7F99"/>
      </patternFill>
    </fill>
    <fill>
      <patternFill patternType="solid">
        <fgColor rgb="00DCE3EC"/>
      </patternFill>
    </fill>
    <fill>
      <patternFill patternType="solid">
        <fgColor rgb="00FFFF00"/>
      </patternFill>
    </fill>
    <fill>
      <patternFill patternType="solid">
        <fgColor rgb="0041597A"/>
      </patternFill>
    </fill>
    <fill>
      <patternFill patternType="solid">
        <fgColor rgb="00EDE7DC"/>
      </patternFill>
    </fill>
    <fill>
      <patternFill patternType="solid">
        <fgColor rgb="00E4EFE4"/>
      </patternFill>
    </fill>
    <fill>
      <patternFill patternType="solid">
        <fgColor rgb="00E7EDF6"/>
      </patternFill>
    </fill>
  </fills>
  <borders count="3">
    <border>
      <left/>
      <right/>
      <top/>
      <bottom/>
      <diagonal/>
    </border>
    <border>
      <bottom style="thin">
        <color rgb="00C7B99A"/>
      </bottom>
    </border>
    <border>
      <top style="medium">
        <color rgb="001F3352"/>
      </top>
    </border>
  </borders>
  <cellStyleXfs count="1">
    <xf numFmtId="0" fontId="0" fillId="0" borderId="0"/>
  </cellStyleXfs>
  <cellXfs count="124">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9" fillId="6" borderId="0" applyAlignment="1" pivotButton="0" quotePrefix="0" xfId="0">
      <alignment vertical="center" indent="1"/>
    </xf>
    <xf numFmtId="0" fontId="0" fillId="6" borderId="0" pivotButton="0" quotePrefix="0" xfId="0"/>
    <xf numFmtId="0" fontId="3" fillId="3" borderId="0" pivotButton="0" quotePrefix="0" xfId="0"/>
    <xf numFmtId="0" fontId="0" fillId="3" borderId="0" pivotButton="0" quotePrefix="0" xfId="0"/>
    <xf numFmtId="0" fontId="7" fillId="0" borderId="0" pivotButton="0" quotePrefix="0" xfId="0"/>
    <xf numFmtId="0" fontId="4" fillId="0" borderId="0" applyAlignment="1" pivotButton="0" quotePrefix="0" xfId="0">
      <alignment vertical="top" wrapText="1"/>
    </xf>
    <xf numFmtId="0" fontId="17" fillId="0" borderId="0" pivotButton="0" quotePrefix="0" xfId="0"/>
    <xf numFmtId="0" fontId="7" fillId="5" borderId="0" pivotButton="0" quotePrefix="0" xfId="0"/>
    <xf numFmtId="0" fontId="18" fillId="0" borderId="0" pivotButton="0" quotePrefix="0" xfId="0"/>
    <xf numFmtId="0" fontId="3" fillId="3" borderId="0" applyAlignment="1" pivotButton="0" quotePrefix="0" xfId="0">
      <alignment horizontal="center" vertical="center" wrapText="1"/>
    </xf>
    <xf numFmtId="0" fontId="4" fillId="0" borderId="1" pivotButton="0" quotePrefix="0" xfId="0"/>
    <xf numFmtId="164" fontId="10" fillId="0" borderId="1" pivotButton="0" quotePrefix="0" xfId="0"/>
    <xf numFmtId="0" fontId="6" fillId="0" borderId="1" pivotButton="0" quotePrefix="0" xfId="0"/>
    <xf numFmtId="0" fontId="0" fillId="0" borderId="1" pivotButton="0" quotePrefix="0" xfId="0"/>
    <xf numFmtId="0" fontId="8" fillId="6" borderId="0" pivotButton="0" quotePrefix="0" xfId="0"/>
    <xf numFmtId="164" fontId="8" fillId="6" borderId="0" pivotButton="0" quotePrefix="0" xfId="0"/>
    <xf numFmtId="0" fontId="7" fillId="0" borderId="1" pivotButton="0" quotePrefix="0" xfId="0"/>
    <xf numFmtId="0" fontId="6" fillId="0" borderId="1" applyAlignment="1" pivotButton="0" quotePrefix="0" xfId="0">
      <alignment vertical="top" wrapText="1"/>
    </xf>
    <xf numFmtId="164" fontId="4" fillId="0" borderId="1" pivotButton="0" quotePrefix="0" xfId="0"/>
    <xf numFmtId="0" fontId="4" fillId="0" borderId="1" applyAlignment="1" pivotButton="0" quotePrefix="0" xfId="0">
      <alignment vertical="center" wrapText="1"/>
    </xf>
    <xf numFmtId="1" fontId="10" fillId="0" borderId="1" pivotButton="0" quotePrefix="0" xfId="0"/>
    <xf numFmtId="164" fontId="7" fillId="0" borderId="1" pivotButton="0" quotePrefix="0" xfId="0"/>
    <xf numFmtId="165" fontId="4" fillId="0" borderId="1" pivotButton="0" quotePrefix="0" xfId="0"/>
    <xf numFmtId="165" fontId="5" fillId="5" borderId="1" applyAlignment="1" pivotButton="0" quotePrefix="0" xfId="0">
      <alignment horizontal="center"/>
    </xf>
    <xf numFmtId="164" fontId="5" fillId="5" borderId="1" pivotButton="0" quotePrefix="0" xfId="0"/>
    <xf numFmtId="0" fontId="7" fillId="4" borderId="2" pivotButton="0" quotePrefix="0" xfId="0"/>
    <xf numFmtId="0" fontId="0" fillId="4" borderId="2" pivotButton="0" quotePrefix="0" xfId="0"/>
    <xf numFmtId="164" fontId="7" fillId="4" borderId="2" pivotButton="0" quotePrefix="0" xfId="0"/>
    <xf numFmtId="0" fontId="6" fillId="4" borderId="2" applyAlignment="1" pivotButton="0" quotePrefix="0" xfId="0">
      <alignment vertical="top" wrapText="1"/>
    </xf>
    <xf numFmtId="0" fontId="12" fillId="0" borderId="0" applyAlignment="1" pivotButton="0" quotePrefix="0" xfId="0">
      <alignment vertical="top" wrapText="1"/>
    </xf>
    <xf numFmtId="0" fontId="3" fillId="3" borderId="0" applyAlignment="1" pivotButton="0" quotePrefix="0" xfId="0">
      <alignment indent="1"/>
    </xf>
    <xf numFmtId="0" fontId="3" fillId="3" borderId="0" applyAlignment="1" pivotButton="0" quotePrefix="0" xfId="0">
      <alignment horizontal="center"/>
    </xf>
    <xf numFmtId="0" fontId="4" fillId="0" borderId="1" applyAlignment="1" pivotButton="0" quotePrefix="0" xfId="0">
      <alignment vertical="center" wrapText="1" indent="1"/>
    </xf>
    <xf numFmtId="1" fontId="5" fillId="5" borderId="1" pivotButton="0" quotePrefix="0" xfId="0"/>
    <xf numFmtId="168" fontId="10" fillId="0" borderId="1" pivotButton="0" quotePrefix="0" xfId="0"/>
    <xf numFmtId="168" fontId="19" fillId="0" borderId="1" pivotButton="0" quotePrefix="0" xfId="0"/>
    <xf numFmtId="165" fontId="19" fillId="0" borderId="1" pivotButton="0" quotePrefix="0" xfId="0"/>
    <xf numFmtId="165" fontId="5" fillId="5" borderId="1" pivotButton="0" quotePrefix="0" xfId="0"/>
    <xf numFmtId="164" fontId="19" fillId="0" borderId="1" pivotButton="0" quotePrefix="0" xfId="0"/>
    <xf numFmtId="0" fontId="0" fillId="3" borderId="0" applyAlignment="1" pivotButton="0" quotePrefix="0" xfId="0">
      <alignment horizontal="center"/>
    </xf>
    <xf numFmtId="169" fontId="5" fillId="5" borderId="1" pivotButton="0" quotePrefix="0" xfId="0"/>
    <xf numFmtId="0" fontId="12" fillId="0" borderId="1" applyAlignment="1" pivotButton="0" quotePrefix="0" xfId="0">
      <alignment vertical="center" wrapText="1" indent="1"/>
    </xf>
    <xf numFmtId="164" fontId="20" fillId="0" borderId="1" pivotButton="0" quotePrefix="0" xfId="0"/>
    <xf numFmtId="164" fontId="21" fillId="0" borderId="1" pivotButton="0" quotePrefix="0" xfId="0"/>
    <xf numFmtId="0" fontId="7" fillId="4" borderId="1" applyAlignment="1" pivotButton="0" quotePrefix="0" xfId="0">
      <alignment vertical="center" wrapText="1" indent="1"/>
    </xf>
    <xf numFmtId="164" fontId="18" fillId="4" borderId="1" pivotButton="0" quotePrefix="0" xfId="0"/>
    <xf numFmtId="164" fontId="22" fillId="4" borderId="1" pivotButton="0" quotePrefix="0" xfId="0"/>
    <xf numFmtId="0" fontId="6" fillId="4" borderId="1" applyAlignment="1" pivotButton="0" quotePrefix="0" xfId="0">
      <alignment vertical="top" wrapText="1"/>
    </xf>
    <xf numFmtId="0" fontId="23" fillId="0" borderId="0" pivotButton="0" quotePrefix="0" xfId="0"/>
    <xf numFmtId="0" fontId="7" fillId="0" borderId="1" applyAlignment="1" pivotButton="0" quotePrefix="0" xfId="0">
      <alignment vertical="center" wrapText="1" indent="1"/>
    </xf>
    <xf numFmtId="164" fontId="22" fillId="0" borderId="1" pivotButton="0" quotePrefix="0" xfId="0"/>
    <xf numFmtId="0" fontId="7" fillId="4" borderId="2" applyAlignment="1" pivotButton="0" quotePrefix="0" xfId="0">
      <alignment vertical="center" wrapText="1" indent="1"/>
    </xf>
    <xf numFmtId="164" fontId="22" fillId="4" borderId="2" pivotButton="0" quotePrefix="0" xfId="0"/>
    <xf numFmtId="165" fontId="21" fillId="0" borderId="1" pivotButton="0" quotePrefix="0" xfId="0"/>
    <xf numFmtId="0" fontId="11" fillId="0" borderId="1" applyAlignment="1" pivotButton="0" quotePrefix="0" xfId="0">
      <alignment vertical="center" wrapText="1" indent="1"/>
    </xf>
    <xf numFmtId="165" fontId="24" fillId="0" borderId="1" pivotButton="0" quotePrefix="0" xfId="0"/>
    <xf numFmtId="164" fontId="18" fillId="0" borderId="1" pivotButton="0" quotePrefix="0" xfId="0"/>
    <xf numFmtId="0" fontId="7" fillId="4" borderId="2" applyAlignment="1" pivotButton="0" quotePrefix="0" xfId="0">
      <alignment indent="1"/>
    </xf>
    <xf numFmtId="0" fontId="6" fillId="0" borderId="0" pivotButton="0" quotePrefix="0" xfId="0"/>
    <xf numFmtId="165" fontId="22" fillId="0" borderId="1" pivotButton="0" quotePrefix="0" xfId="0"/>
    <xf numFmtId="170" fontId="22" fillId="0" borderId="1" pivotButton="0" quotePrefix="0" xfId="0"/>
    <xf numFmtId="0" fontId="19" fillId="0" borderId="1" pivotButton="0" quotePrefix="0" xfId="0"/>
    <xf numFmtId="168" fontId="22" fillId="0" borderId="1" pivotButton="0" quotePrefix="0" xfId="0"/>
    <xf numFmtId="170" fontId="19" fillId="0" borderId="1" pivotButton="0" quotePrefix="0" xfId="0"/>
    <xf numFmtId="0" fontId="4" fillId="0" borderId="1" applyAlignment="1" pivotButton="0" quotePrefix="0" xfId="0">
      <alignment wrapText="1" indent="1"/>
    </xf>
    <xf numFmtId="165" fontId="7" fillId="0" borderId="1" pivotButton="0" quotePrefix="0" xfId="0"/>
    <xf numFmtId="164" fontId="15" fillId="0" borderId="0" pivotButton="0" quotePrefix="0" xfId="0"/>
    <xf numFmtId="0" fontId="4" fillId="4" borderId="1" applyAlignment="1" pivotButton="0" quotePrefix="0" xfId="0">
      <alignment wrapText="1" indent="1"/>
    </xf>
    <xf numFmtId="165" fontId="7" fillId="4" borderId="1" pivotButton="0" quotePrefix="0" xfId="0"/>
    <xf numFmtId="164" fontId="4" fillId="4" borderId="1" pivotButton="0" quotePrefix="0" xfId="0"/>
    <xf numFmtId="0" fontId="0" fillId="4" borderId="1" pivotButton="0" quotePrefix="0" xfId="0"/>
    <xf numFmtId="0" fontId="13" fillId="0" borderId="0" pivotButton="0" quotePrefix="0" xfId="0"/>
    <xf numFmtId="0" fontId="14" fillId="5" borderId="0" applyAlignment="1" pivotButton="0" quotePrefix="0" xfId="0">
      <alignment horizontal="center"/>
    </xf>
    <xf numFmtId="0" fontId="15" fillId="0" borderId="0" pivotButton="0" quotePrefix="0" xfId="0"/>
    <xf numFmtId="0" fontId="4" fillId="0" borderId="0" applyAlignment="1" pivotButton="0" quotePrefix="0" xfId="0">
      <alignment horizontal="center"/>
    </xf>
    <xf numFmtId="0" fontId="4" fillId="0" borderId="0" pivotButton="0" quotePrefix="0" xfId="0"/>
    <xf numFmtId="0" fontId="5" fillId="5" borderId="0" applyAlignment="1" pivotButton="0" quotePrefix="0" xfId="0">
      <alignment horizontal="center"/>
    </xf>
    <xf numFmtId="0" fontId="4" fillId="0" borderId="1" applyAlignment="1" pivotButton="0" quotePrefix="0" xfId="0">
      <alignment vertical="top" wrapText="1"/>
    </xf>
    <xf numFmtId="0" fontId="4" fillId="0" borderId="1" applyAlignment="1" pivotButton="0" quotePrefix="0" xfId="0">
      <alignment horizontal="center"/>
    </xf>
    <xf numFmtId="164" fontId="5" fillId="0" borderId="1" pivotButton="0" quotePrefix="0" xfId="0"/>
    <xf numFmtId="164" fontId="7" fillId="4" borderId="1" pivotButton="0" quotePrefix="0" xfId="0"/>
    <xf numFmtId="165" fontId="5" fillId="0" borderId="1" pivotButton="0" quotePrefix="0" xfId="0"/>
    <xf numFmtId="168" fontId="5" fillId="0" borderId="1" pivotButton="0" quotePrefix="0" xfId="0"/>
    <xf numFmtId="168" fontId="7" fillId="4" borderId="1" pivotButton="0" quotePrefix="0" xfId="0"/>
    <xf numFmtId="1" fontId="7" fillId="4" borderId="1" pivotButton="0" quotePrefix="0" xfId="0"/>
    <xf numFmtId="1" fontId="5" fillId="0" borderId="1" pivotButton="0" quotePrefix="0" xfId="0"/>
    <xf numFmtId="10" fontId="5" fillId="0" borderId="1" pivotButton="0" quotePrefix="0" xfId="0"/>
    <xf numFmtId="10" fontId="7" fillId="4" borderId="1" pivotButton="0" quotePrefix="0" xfId="0"/>
    <xf numFmtId="10" fontId="5" fillId="5" borderId="1" pivotButton="0" quotePrefix="0" xfId="0"/>
    <xf numFmtId="165" fontId="4" fillId="0" borderId="1" applyAlignment="1" pivotButton="0" quotePrefix="0" xfId="0">
      <alignment horizontal="center"/>
    </xf>
    <xf numFmtId="165" fontId="8" fillId="6" borderId="0" applyAlignment="1" pivotButton="0" quotePrefix="0" xfId="0">
      <alignment horizontal="center"/>
    </xf>
    <xf numFmtId="0" fontId="5" fillId="0" borderId="1" applyAlignment="1" pivotButton="0" quotePrefix="0" xfId="0">
      <alignment horizontal="center"/>
    </xf>
    <xf numFmtId="0" fontId="4" fillId="0" borderId="1" applyAlignment="1" pivotButton="0" quotePrefix="0" xfId="0">
      <alignment horizontal="center" wrapText="1"/>
    </xf>
    <xf numFmtId="164" fontId="10" fillId="0" borderId="0" pivotButton="0" quotePrefix="0" xfId="0"/>
    <xf numFmtId="165" fontId="5" fillId="5" borderId="0" applyAlignment="1" pivotButton="0" quotePrefix="0" xfId="0">
      <alignment horizontal="center"/>
    </xf>
    <xf numFmtId="164" fontId="4" fillId="0" borderId="0" pivotButton="0" quotePrefix="0" xfId="0"/>
    <xf numFmtId="0" fontId="11" fillId="0" borderId="0" pivotButton="0" quotePrefix="0" xfId="0"/>
    <xf numFmtId="164" fontId="5" fillId="0" borderId="0" pivotButton="0" quotePrefix="0" xfId="0"/>
    <xf numFmtId="0" fontId="6" fillId="0" borderId="0" applyAlignment="1" pivotButton="0" quotePrefix="0" xfId="0">
      <alignment vertical="top" wrapText="1"/>
    </xf>
    <xf numFmtId="0" fontId="5" fillId="0" borderId="0" applyAlignment="1" pivotButton="0" quotePrefix="0" xfId="0">
      <alignment horizontal="center"/>
    </xf>
    <xf numFmtId="0" fontId="5" fillId="7" borderId="0" applyAlignment="1" pivotButton="0" quotePrefix="0" xfId="0">
      <alignment horizontal="center"/>
    </xf>
    <xf numFmtId="164" fontId="4" fillId="7" borderId="0" pivotButton="0" quotePrefix="0" xfId="0"/>
    <xf numFmtId="0" fontId="3" fillId="3" borderId="0" applyAlignment="1" pivotButton="0" quotePrefix="0" xfId="0">
      <alignment horizontal="left" vertical="center" indent="1"/>
    </xf>
    <xf numFmtId="0" fontId="6" fillId="0" borderId="1" applyAlignment="1" pivotButton="0" quotePrefix="0" xfId="0">
      <alignment vertical="center" wrapText="1"/>
    </xf>
    <xf numFmtId="1" fontId="11" fillId="0" borderId="1" pivotButton="0" quotePrefix="0" xfId="0"/>
    <xf numFmtId="0" fontId="5" fillId="0" borderId="1" applyAlignment="1" pivotButton="0" quotePrefix="0" xfId="0">
      <alignment vertical="center" wrapText="1" indent="1"/>
    </xf>
    <xf numFmtId="1" fontId="4" fillId="0" borderId="1" pivotButton="0" quotePrefix="0" xfId="0"/>
    <xf numFmtId="0" fontId="16" fillId="0" borderId="1" applyAlignment="1" pivotButton="0" quotePrefix="0" xfId="0">
      <alignment vertical="center" wrapText="1" indent="1"/>
    </xf>
    <xf numFmtId="1" fontId="16" fillId="0" borderId="1" pivotButton="0" quotePrefix="0" xfId="0"/>
    <xf numFmtId="165" fontId="7" fillId="4" borderId="2" applyAlignment="1" pivotButton="0" quotePrefix="0" xfId="0">
      <alignment horizontal="center"/>
    </xf>
    <xf numFmtId="164" fontId="4" fillId="8" borderId="1" pivotButton="0" quotePrefix="0" xfId="0"/>
    <xf numFmtId="164" fontId="4" fillId="9" borderId="1" pivotButton="0" quotePrefix="0" xfId="0"/>
    <xf numFmtId="164" fontId="4" fillId="5" borderId="1" pivotButton="0" quotePrefix="0" xfId="0"/>
    <xf numFmtId="0" fontId="7" fillId="0" borderId="1" applyAlignment="1" pivotButton="0" quotePrefix="0" xfId="0">
      <alignment indent="1"/>
    </xf>
    <xf numFmtId="0" fontId="4" fillId="0" borderId="1" applyAlignment="1" pivotButton="0" quotePrefix="0" xfId="0">
      <alignment indent="1"/>
    </xf>
    <xf numFmtId="0" fontId="8" fillId="6" borderId="0" applyAlignment="1" pivotButton="0" quotePrefix="0" xfId="0">
      <alignment indent="1"/>
    </xf>
    <xf numFmtId="1" fontId="4" fillId="0" borderId="0" pivotButton="0" quotePrefix="0" xfId="0"/>
    <xf numFmtId="168" fontId="7" fillId="0" borderId="0" pivotButton="0" quotePrefix="0" xfId="0"/>
    <xf numFmtId="166" fontId="5" fillId="5" borderId="0" pivotButton="0" quotePrefix="0" xfId="0"/>
    <xf numFmtId="167"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7"/>
  <sheetViews>
    <sheetView showGridLines="0" workbookViewId="0">
      <selection activeCell="A1" sqref="A1"/>
    </sheetView>
  </sheetViews>
  <sheetFormatPr baseColWidth="8" defaultRowHeight="15"/>
  <cols>
    <col width="22" customWidth="1" min="1" max="1"/>
    <col width="19" customWidth="1" min="2" max="2"/>
    <col width="19" customWidth="1" min="3" max="3"/>
    <col width="19" customWidth="1" min="4" max="4"/>
    <col width="19" customWidth="1" min="5" max="5"/>
    <col width="19" customWidth="1" min="6" max="6"/>
  </cols>
  <sheetData>
    <row r="1" ht="26" customHeight="1">
      <c r="A1" s="1" t="inlineStr">
        <is>
          <t>ORIZURU HOLIDAY HOMES LLC — CAPEX &amp; OPEX FINANCIAL MODEL</t>
        </is>
      </c>
      <c r="B1" s="2" t="n"/>
      <c r="C1" s="2" t="n"/>
      <c r="D1" s="2" t="n"/>
      <c r="E1" s="2" t="n"/>
      <c r="F1" s="2" t="n"/>
    </row>
    <row r="2" ht="16" customHeight="1">
      <c r="A2" s="3" t="inlineStr">
        <is>
          <t>Dubai, UAE  |  Trade Licence 1634278  |  TRN 105507385000001  |  All figures in AED</t>
        </is>
      </c>
      <c r="B2" s="2" t="n"/>
      <c r="C2" s="2" t="n"/>
      <c r="D2" s="2" t="n"/>
      <c r="E2" s="2" t="n"/>
      <c r="F2" s="2" t="n"/>
    </row>
    <row r="4" ht="18" customHeight="1">
      <c r="A4" s="4" t="inlineStr">
        <is>
          <t>WHAT IS IN THIS WORKBOOK</t>
        </is>
      </c>
      <c r="B4" s="5" t="n"/>
      <c r="C4" s="5" t="n"/>
      <c r="D4" s="5" t="n"/>
      <c r="E4" s="5" t="n"/>
      <c r="F4" s="5" t="n"/>
    </row>
    <row r="5">
      <c r="A5" s="6" t="inlineStr">
        <is>
          <t>Tab</t>
        </is>
      </c>
      <c r="B5" s="6" t="inlineStr">
        <is>
          <t>What it does</t>
        </is>
      </c>
      <c r="C5" s="7" t="n"/>
      <c r="D5" s="7" t="n"/>
      <c r="E5" s="7" t="n"/>
      <c r="F5" s="7" t="n"/>
    </row>
    <row r="6" ht="26" customHeight="1">
      <c r="A6" s="8" t="inlineStr">
        <is>
          <t>Funding Summary</t>
        </is>
      </c>
      <c r="B6" s="9" t="inlineStr">
        <is>
          <t>START HERE. Total CAPEX, Year-1 OPEX, and the peak cash the business actually needs to fund — tied against the AED 200,000 shareholder capital.</t>
        </is>
      </c>
    </row>
    <row r="7" ht="39" customHeight="1">
      <c r="A7" s="8" t="inlineStr">
        <is>
          <t>Financial Summary</t>
        </is>
      </c>
      <c r="B7" s="9" t="inlineStr">
        <is>
          <t>5-year P&amp;L, cash flow and returns: EBITDA, net profit, free cash flow, IRR, NPV, MOIC, payback, break-even portfolio size and IRR sensitivities. Year 1 links live to the monthly model; Years 2–5 are driven by the editable inputs in its section 1.</t>
        </is>
      </c>
    </row>
    <row r="8" ht="26" customHeight="1">
      <c r="A8" s="8" t="inlineStr">
        <is>
          <t>Assumptions</t>
        </is>
      </c>
      <c r="B8" s="9" t="inlineStr">
        <is>
          <t>Every OPEX input at Low / Base / High. Set SCENARIO in cell B4 and the whole model re-cuts. Set cell B6 to choose which marketing option is adopted from Month 3.</t>
        </is>
      </c>
    </row>
    <row r="9" ht="14" customHeight="1">
      <c r="A9" s="8" t="inlineStr">
        <is>
          <t>CAPEX Summary</t>
        </is>
      </c>
      <c r="B9" s="9" t="inlineStr">
        <is>
          <t>One-off setup spend rolled up by category.</t>
        </is>
      </c>
    </row>
    <row r="10" ht="26" customHeight="1">
      <c r="A10" s="8" t="inlineStr">
        <is>
          <t>CAPEX Detail</t>
        </is>
      </c>
      <c r="B10" s="9" t="inlineStr">
        <is>
          <t>Every CAPEX line at Low / Base / High: formation &amp; licensing, technology, brand, equipment, deposits.</t>
        </is>
      </c>
    </row>
    <row r="11" ht="14" customHeight="1">
      <c r="A11" s="8" t="inlineStr">
        <is>
          <t>Unit Setup (1 Unit)</t>
        </is>
      </c>
      <c r="B11" s="9" t="inlineStr">
        <is>
          <t>Cost to bring ONE unit live, plus a x1 to x80 portfolio scaling reference.</t>
        </is>
      </c>
    </row>
    <row r="12" ht="14" customHeight="1">
      <c r="A12" s="8" t="inlineStr">
        <is>
          <t>OPEX Summary</t>
        </is>
      </c>
      <c r="B12" s="9" t="inlineStr">
        <is>
          <t>Year-1 OPEX by category, key metrics, and the notes you should read before circulating.</t>
        </is>
      </c>
    </row>
    <row r="13" ht="26" customHeight="1">
      <c r="A13" s="8" t="inlineStr">
        <is>
          <t>OPEX Monthly</t>
        </is>
      </c>
      <c r="B13" s="9" t="inlineStr">
        <is>
          <t>The engine. 12 months across, every cost line down. Edit the yellow unit-ramp row to change the growth path.</t>
        </is>
      </c>
    </row>
    <row r="14" ht="26" customHeight="1">
      <c r="A14" s="8" t="inlineStr">
        <is>
          <t>Marketing Comparison</t>
        </is>
      </c>
      <c r="B14" s="9" t="inlineStr">
        <is>
          <t>Option 1 vs Option 2 head-to-head, break-even units, and what to measure before deciding in Month 3.</t>
        </is>
      </c>
    </row>
    <row r="15" ht="14" customHeight="1">
      <c r="A15" s="8" t="inlineStr">
        <is>
          <t>AI Subscriptions</t>
        </is>
      </c>
      <c r="B15" s="9" t="inlineStr">
        <is>
          <t>AI stack broken out tool by tool. Feeds the AI line in the OPEX model.</t>
        </is>
      </c>
    </row>
    <row r="17" ht="18" customHeight="1">
      <c r="A17" s="4" t="inlineStr">
        <is>
          <t>THE FOUR LEVERS THAT MOVE EVERYTHING</t>
        </is>
      </c>
      <c r="B17" s="5" t="n"/>
      <c r="C17" s="5" t="n"/>
      <c r="D17" s="5" t="n"/>
      <c r="E17" s="5" t="n"/>
      <c r="F17" s="5" t="n"/>
    </row>
    <row r="18" ht="14" customHeight="1">
      <c r="A18" s="8" t="inlineStr">
        <is>
          <t>1.</t>
        </is>
      </c>
      <c r="B18" s="9" t="inlineStr">
        <is>
          <t>Assumptions!B4 — SCENARIO (Low / Base / High).</t>
        </is>
      </c>
    </row>
    <row r="19" ht="26" customHeight="1">
      <c r="A19" s="8" t="inlineStr">
        <is>
          <t>2.</t>
        </is>
      </c>
      <c r="B19" s="9" t="inlineStr">
        <is>
          <t>Assumptions!B6 — marketing option adopted from Month 3 (or 'Both' to keep running in parallel).</t>
        </is>
      </c>
    </row>
    <row r="20" ht="39" customHeight="1">
      <c r="A20" s="8" t="inlineStr">
        <is>
          <t>3.</t>
        </is>
      </c>
      <c r="B20" s="9" t="inlineStr">
        <is>
          <t>OPEX Monthly, yellow row — new units signed each month. Currently ramps to 80 units by Month 12, matching the Business Profile's 70–80 Year-1 target. Set every month to 0 except M1 = 1 for a single-unit view.</t>
        </is>
      </c>
    </row>
    <row r="21" ht="26" customHeight="1">
      <c r="A21" s="8" t="inlineStr">
        <is>
          <t>4.</t>
        </is>
      </c>
      <c r="B21" s="9" t="inlineStr">
        <is>
          <t>Assumptions column F — the active value of any single line. Override any input in its Low/Base/High cells.</t>
        </is>
      </c>
    </row>
    <row r="22" ht="26" customHeight="1">
      <c r="A22" s="8" t="inlineStr">
        <is>
          <t>5.</t>
        </is>
      </c>
      <c r="B22" s="9" t="inlineStr">
        <is>
          <t>Financial Summary sections 1 and 1b — unit counts for Years 2–5, inflation, headcount, exit multiple, discount rate and the fixed-cost step-up. These drive every return metric.</t>
        </is>
      </c>
    </row>
    <row r="24" ht="18" customHeight="1">
      <c r="A24" s="4" t="inlineStr">
        <is>
          <t>MODEL BASIS — AS CONFIRMED</t>
        </is>
      </c>
      <c r="B24" s="5" t="n"/>
      <c r="C24" s="5" t="n"/>
      <c r="D24" s="5" t="n"/>
      <c r="E24" s="5" t="n"/>
      <c r="F24" s="5" t="n"/>
    </row>
    <row r="25" ht="26" customHeight="1">
      <c r="A25" s="8" t="inlineStr">
        <is>
          <t>•</t>
        </is>
      </c>
      <c r="B25" s="9" t="inlineStr">
        <is>
          <t>PURE MANAGEMENT / COMMISSION-ONLY. Orizuru does not master-lease. There is NO unit rent, no unit DEWA and no unit internet anywhere in this model — those sit with the property owner.</t>
        </is>
      </c>
    </row>
    <row r="26" ht="26" customHeight="1">
      <c r="A26" s="8" t="inlineStr">
        <is>
          <t>•</t>
        </is>
      </c>
      <c r="B26" s="9" t="inlineStr">
        <is>
          <t>Unit setup CAPEX is sized for ONE unit. The scaling table on 'Unit Setup (1 Unit)' shows portfolio cost but is not added to the CAPEX total.</t>
        </is>
      </c>
    </row>
    <row r="27" ht="14" customHeight="1">
      <c r="A27" s="8" t="inlineStr">
        <is>
          <t>•</t>
        </is>
      </c>
      <c r="B27" s="9" t="inlineStr">
        <is>
          <t>Directors draw NO salary.</t>
        </is>
      </c>
    </row>
    <row r="28" ht="39" customHeight="1">
      <c r="A28" s="8" t="inlineStr">
        <is>
          <t>•</t>
        </is>
      </c>
      <c r="B28" s="9" t="inlineStr">
        <is>
          <t>Operations &amp; service staff: AED 3,000/month per person, starting with 1 person and scaling with the portfolio via the 'live units per operations staff member' ratio on the Assumptions tab.</t>
        </is>
      </c>
    </row>
    <row r="29" ht="14" customHeight="1">
      <c r="A29" s="8" t="inlineStr">
        <is>
          <t>•</t>
        </is>
      </c>
      <c r="B29" s="9" t="inlineStr">
        <is>
          <t>Both marketing options run in parallel for Months 1–2, then one is adopted.</t>
        </is>
      </c>
    </row>
    <row r="30" ht="26" customHeight="1">
      <c r="A30" s="8" t="inlineStr">
        <is>
          <t>•</t>
        </is>
      </c>
      <c r="B30" s="9" t="inlineStr">
        <is>
          <t>The 2% per signed unit is an ONGOING trailing commission on that unit's monthly revenue, charged every month for as long as the unit is live — not a one-off signing bonus.</t>
        </is>
      </c>
    </row>
    <row r="31" ht="26" customHeight="1">
      <c r="A31" s="8" t="inlineStr">
        <is>
          <t>•</t>
        </is>
      </c>
      <c r="B31" s="9" t="inlineStr">
        <is>
          <t>Figures supplied and used as-is: domain name 3 years AED 387; company stamp AED 137. Both are one-off, so they sit in CAPEX.</t>
        </is>
      </c>
    </row>
    <row r="32" ht="39" customHeight="1">
      <c r="A32" s="8" t="inlineStr">
        <is>
          <t>•</t>
        </is>
      </c>
      <c r="B32" s="9" t="inlineStr">
        <is>
          <t>Shareholder capital is AED 200,000 as confirmed. NOTE: the Business Profile states AED 2,000,000 — the two must be reconciled before the pack goes to the bank. This model uses AED 200,000.</t>
        </is>
      </c>
    </row>
    <row r="33" ht="26" customHeight="1">
      <c r="A33" s="8" t="inlineStr">
        <is>
          <t>•</t>
        </is>
      </c>
      <c r="B33" s="9" t="inlineStr">
        <is>
          <t>Nothing here is sized to the capital figure. Everything is built bottom-up from what the business needs, then compared against the capital available on 'Funding Summary'.</t>
        </is>
      </c>
    </row>
    <row r="35" ht="18" customHeight="1">
      <c r="A35" s="4" t="inlineStr">
        <is>
          <t>COLOUR LEGEND</t>
        </is>
      </c>
      <c r="B35" s="5" t="n"/>
      <c r="C35" s="5" t="n"/>
      <c r="D35" s="5" t="n"/>
      <c r="E35" s="5" t="n"/>
      <c r="F35" s="5" t="n"/>
    </row>
    <row r="36" ht="14" customHeight="1">
      <c r="A36" s="10" t="inlineStr">
        <is>
          <t>Blue text</t>
        </is>
      </c>
      <c r="B36" s="9" t="inlineStr">
        <is>
          <t>Hardcoded input — edit freely.</t>
        </is>
      </c>
    </row>
    <row r="37" ht="14" customHeight="1">
      <c r="A37" s="11" t="inlineStr">
        <is>
          <t>Yellow fill</t>
        </is>
      </c>
      <c r="B37" s="9" t="inlineStr">
        <is>
          <t>Key lever, or a figure supplied by management.</t>
        </is>
      </c>
    </row>
    <row r="38" ht="14" customHeight="1">
      <c r="A38" s="8" t="inlineStr">
        <is>
          <t>Black text</t>
        </is>
      </c>
      <c r="B38" s="9" t="inlineStr">
        <is>
          <t>Formula. Do not overwrite.</t>
        </is>
      </c>
    </row>
    <row r="39" ht="14" customHeight="1">
      <c r="A39" s="12" t="inlineStr">
        <is>
          <t>Green text</t>
        </is>
      </c>
      <c r="B39" s="9" t="inlineStr">
        <is>
          <t>Link to another tab in this workbook.</t>
        </is>
      </c>
    </row>
    <row r="41" ht="18" customHeight="1">
      <c r="A41" s="4" t="inlineStr">
        <is>
          <t>WHAT IS DELIBERATELY EXCLUDED</t>
        </is>
      </c>
      <c r="B41" s="5" t="n"/>
      <c r="C41" s="5" t="n"/>
      <c r="D41" s="5" t="n"/>
      <c r="E41" s="5" t="n"/>
      <c r="F41" s="5" t="n"/>
    </row>
    <row r="42" ht="39" customHeight="1">
      <c r="A42" s="8" t="inlineStr">
        <is>
          <t>•</t>
        </is>
      </c>
      <c r="B42" s="9" t="inlineStr">
        <is>
          <t>OTA commission (Airbnb / Booking.com, 15–18%). Under a commission-only model this is deducted from gross booking revenue before the owner's split — it is not an Orizuru operating cost. Add it only if your management contracts make Orizuru bear it.</t>
        </is>
      </c>
    </row>
    <row r="43" ht="14" customHeight="1">
      <c r="A43" s="8" t="inlineStr">
        <is>
          <t>•</t>
        </is>
      </c>
      <c r="B43" s="9" t="inlineStr">
        <is>
          <t>Tourism Dirham. Collected from the guest, remitted to DET. Pure pass-through.</t>
        </is>
      </c>
    </row>
    <row r="44" ht="26" customHeight="1">
      <c r="A44" s="8" t="inlineStr">
        <is>
          <t>•</t>
        </is>
      </c>
      <c r="B44" s="9" t="inlineStr">
        <is>
          <t>Corporate Tax itself (9% above AED 375,000 taxable profit) — a tax on profit, not OPEX. The compliance and filing cost IS included.</t>
        </is>
      </c>
    </row>
    <row r="45" ht="14" customHeight="1">
      <c r="A45" s="8" t="inlineStr">
        <is>
          <t>•</t>
        </is>
      </c>
      <c r="B45" s="9" t="inlineStr">
        <is>
          <t>Depreciation on the CAPEX. Non-cash; belongs in the P&amp;L, not an OPEX cash budget.</t>
        </is>
      </c>
    </row>
    <row r="46" ht="26" customHeight="1">
      <c r="A46" s="8" t="inlineStr">
        <is>
          <t>•</t>
        </is>
      </c>
      <c r="B46" s="9" t="inlineStr">
        <is>
          <t>Unit furnishing. Owner-funded under this model. The operating layer Orizuru does fund is in CAPEX.</t>
        </is>
      </c>
    </row>
    <row r="47" ht="14" customHeight="1">
      <c r="A47" s="8" t="inlineStr">
        <is>
          <t>•</t>
        </is>
      </c>
      <c r="B47" s="9" t="inlineStr">
        <is>
          <t>Bank minimum balance. A blocked asset, not a cost — shown as a memo on 'CAPEX Detail'.</t>
        </is>
      </c>
    </row>
  </sheetData>
  <mergeCells count="41">
    <mergeCell ref="A41:F41"/>
    <mergeCell ref="B7:F7"/>
    <mergeCell ref="B47:F47"/>
    <mergeCell ref="B25:F25"/>
    <mergeCell ref="B31:F31"/>
    <mergeCell ref="B46:F46"/>
    <mergeCell ref="B22:F22"/>
    <mergeCell ref="B18:F18"/>
    <mergeCell ref="B27:F27"/>
    <mergeCell ref="B21:F21"/>
    <mergeCell ref="A2:F2"/>
    <mergeCell ref="B43:F43"/>
    <mergeCell ref="B12:F12"/>
    <mergeCell ref="B39:F39"/>
    <mergeCell ref="B11:F11"/>
    <mergeCell ref="B42:F42"/>
    <mergeCell ref="A17:F17"/>
    <mergeCell ref="A35:F35"/>
    <mergeCell ref="A4:F4"/>
    <mergeCell ref="B14:F14"/>
    <mergeCell ref="B8:F8"/>
    <mergeCell ref="B13:F13"/>
    <mergeCell ref="B44:F44"/>
    <mergeCell ref="B29:F29"/>
    <mergeCell ref="B38:F38"/>
    <mergeCell ref="B10:F10"/>
    <mergeCell ref="B28:F28"/>
    <mergeCell ref="B19:F19"/>
    <mergeCell ref="B37:F37"/>
    <mergeCell ref="B9:F9"/>
    <mergeCell ref="A24:F24"/>
    <mergeCell ref="B30:F30"/>
    <mergeCell ref="B6:F6"/>
    <mergeCell ref="B20:F20"/>
    <mergeCell ref="B15:F15"/>
    <mergeCell ref="B33:F33"/>
    <mergeCell ref="A1:F1"/>
    <mergeCell ref="B45:F45"/>
    <mergeCell ref="B36:F36"/>
    <mergeCell ref="B32:F32"/>
    <mergeCell ref="B26:F2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showGridLines="0" workbookViewId="0">
      <selection activeCell="A1" sqref="A1"/>
    </sheetView>
  </sheetViews>
  <sheetFormatPr baseColWidth="8" defaultRowHeight="15"/>
  <cols>
    <col width="50" customWidth="1" min="1" max="1"/>
    <col width="16" customWidth="1" min="2" max="2"/>
    <col width="18" customWidth="1" min="3" max="3"/>
    <col width="16" customWidth="1" min="4" max="4"/>
    <col width="58" customWidth="1" min="5" max="5"/>
  </cols>
  <sheetData>
    <row r="1" ht="26" customHeight="1">
      <c r="A1" s="1" t="inlineStr">
        <is>
          <t>FUNDING SUMMARY — WHAT THE BUSINESS ACTUALLY NEEDS</t>
        </is>
      </c>
      <c r="B1" s="2" t="n"/>
      <c r="C1" s="2" t="n"/>
      <c r="D1" s="2" t="n"/>
      <c r="E1" s="2" t="n"/>
    </row>
    <row r="2" ht="16" customHeight="1">
      <c r="A2" s="3" t="inlineStr">
        <is>
          <t>CAPEX and Year-1 OPEX combined. All figures AED. Base case unless the scenario is changed on 'Assumptions'.</t>
        </is>
      </c>
      <c r="B2" s="2" t="n"/>
      <c r="C2" s="2" t="n"/>
      <c r="D2" s="2" t="n"/>
      <c r="E2" s="2" t="n"/>
    </row>
    <row r="4" ht="18" customHeight="1">
      <c r="A4" s="4" t="inlineStr">
        <is>
          <t>1.  CAPITAL EXPENDITURE  —  one-off</t>
        </is>
      </c>
      <c r="B4" s="5" t="n"/>
      <c r="C4" s="5" t="n"/>
      <c r="D4" s="5" t="n"/>
      <c r="E4" s="5" t="n"/>
    </row>
    <row r="5" ht="22" customHeight="1">
      <c r="A5" s="13" t="inlineStr">
        <is>
          <t>Item</t>
        </is>
      </c>
      <c r="B5" s="13" t="inlineStr">
        <is>
          <t>Low</t>
        </is>
      </c>
      <c r="C5" s="13" t="inlineStr">
        <is>
          <t>Base</t>
        </is>
      </c>
      <c r="D5" s="13" t="inlineStr">
        <is>
          <t>High</t>
        </is>
      </c>
      <c r="E5" s="13" t="inlineStr">
        <is>
          <t>Comment</t>
        </is>
      </c>
    </row>
    <row r="6">
      <c r="A6" s="14" t="inlineStr">
        <is>
          <t>Company setup (formation, tech, brand, equipment, deposits)</t>
        </is>
      </c>
      <c r="B6" s="15">
        <f>'CAPEX Detail'!G50</f>
        <v>60824</v>
      </c>
      <c r="C6" s="15">
        <f>'CAPEX Detail'!H50</f>
        <v>101824</v>
      </c>
      <c r="D6" s="15">
        <f>'CAPEX Detail'!I50</f>
        <v>166324</v>
      </c>
      <c r="E6" s="16" t="inlineStr">
        <is>
          <t>Scale-insensitive — the same whether you run 1 unit or 80.</t>
        </is>
      </c>
    </row>
    <row r="7">
      <c r="A7" s="14" t="inlineStr">
        <is>
          <t>Unit setup — 1 unit</t>
        </is>
      </c>
      <c r="B7" s="15">
        <f>'Unit Setup (1 Unit)'!D17</f>
        <v>6105</v>
      </c>
      <c r="C7" s="15">
        <f>'Unit Setup (1 Unit)'!E17</f>
        <v>9152</v>
      </c>
      <c r="D7" s="15">
        <f>'Unit Setup (1 Unit)'!F17</f>
        <v>13640</v>
      </c>
      <c r="E7" s="16" t="inlineStr">
        <is>
          <t>One unit only, as instructed. Multiply on the 'Unit Setup' tab for portfolio scale.</t>
        </is>
      </c>
    </row>
    <row r="8">
      <c r="A8" s="14" t="inlineStr">
        <is>
          <t>Contingency on company setup</t>
        </is>
      </c>
      <c r="B8" s="15">
        <f>'CAPEX Detail'!G52</f>
        <v>6082.400000000001</v>
      </c>
      <c r="C8" s="15">
        <f>'CAPEX Detail'!H52</f>
        <v>10182.400000000001</v>
      </c>
      <c r="D8" s="15">
        <f>'CAPEX Detail'!I52</f>
        <v>16632.4</v>
      </c>
      <c r="E8" s="17" t="n"/>
    </row>
    <row r="9" ht="20" customHeight="1">
      <c r="A9" s="18" t="inlineStr">
        <is>
          <t>TOTAL CAPEX</t>
        </is>
      </c>
      <c r="B9" s="19">
        <f>SUM(B6:B8)</f>
        <v>73011.4</v>
      </c>
      <c r="C9" s="19">
        <f>SUM(C6:C8)</f>
        <v>121158.4</v>
      </c>
      <c r="D9" s="19">
        <f>SUM(D6:D8)</f>
        <v>196596.4</v>
      </c>
      <c r="E9" s="5" t="n"/>
    </row>
    <row r="11" ht="18" customHeight="1">
      <c r="A11" s="4" t="inlineStr">
        <is>
          <t>2.  OPERATING EXPENDITURE  —  Year 1</t>
        </is>
      </c>
      <c r="B11" s="5" t="n"/>
      <c r="C11" s="5" t="n"/>
      <c r="D11" s="5" t="n"/>
      <c r="E11" s="5" t="n"/>
    </row>
    <row r="12" ht="22" customHeight="1">
      <c r="A12" s="20" t="inlineStr">
        <is>
          <t>Total OPEX — Year 1</t>
        </is>
      </c>
      <c r="B12" s="17" t="n"/>
      <c r="C12" s="15">
        <f>'OPEX Summary'!B14</f>
        <v>713738.0145</v>
      </c>
      <c r="D12" s="17" t="n"/>
      <c r="E12" s="21" t="inlineStr">
        <is>
          <t>Active scenario only. Change SCENARIO on 'Assumptions' to see Low / High.</t>
        </is>
      </c>
    </row>
    <row r="13" ht="22" customHeight="1">
      <c r="A13" s="14" t="inlineStr">
        <is>
          <t>Monthly average OPEX</t>
        </is>
      </c>
      <c r="B13" s="17" t="n"/>
      <c r="C13" s="22">
        <f>C12/12</f>
        <v>59478.16787500001</v>
      </c>
      <c r="D13" s="17" t="n"/>
      <c r="E13" s="21" t="inlineStr">
        <is>
          <t>Year-1 total divided by 12.</t>
        </is>
      </c>
    </row>
    <row r="14" ht="22" customHeight="1">
      <c r="A14" s="14" t="inlineStr">
        <is>
          <t>Exit run-rate OPEX (Month 12)</t>
        </is>
      </c>
      <c r="B14" s="17" t="n"/>
      <c r="C14" s="15">
        <f>'OPEX Monthly'!N87</f>
        <v>113117.816875</v>
      </c>
      <c r="D14" s="17" t="n"/>
      <c r="E14" s="21" t="inlineStr">
        <is>
          <t>The steady-state monthly cost you carry into Year 2.</t>
        </is>
      </c>
    </row>
    <row r="16" ht="18" customHeight="1">
      <c r="A16" s="4" t="inlineStr">
        <is>
          <t>3.  YEAR-1 TRADING  —  does it cover itself?</t>
        </is>
      </c>
      <c r="B16" s="5" t="n"/>
      <c r="C16" s="5" t="n"/>
      <c r="D16" s="5" t="n"/>
      <c r="E16" s="5" t="n"/>
    </row>
    <row r="17" ht="24" customHeight="1">
      <c r="A17" s="23" t="inlineStr">
        <is>
          <t>Units signed by Month 12</t>
        </is>
      </c>
      <c r="B17" s="17" t="n"/>
      <c r="C17" s="24">
        <f>'OPEX Monthly'!N8</f>
        <v>80</v>
      </c>
      <c r="D17" s="17" t="n"/>
      <c r="E17" s="21" t="inlineStr">
        <is>
          <t>Against the Business Profile's 70–80 Year-1 target. Driven by the yellow ramp row on 'OPEX Monthly'.</t>
        </is>
      </c>
    </row>
    <row r="18" ht="36" customHeight="1">
      <c r="A18" s="23" t="inlineStr">
        <is>
          <t>Gross booking revenue (guest spend across the portfolio)</t>
        </is>
      </c>
      <c r="B18" s="17" t="n"/>
      <c r="C18" s="15">
        <f>'OPEX Monthly'!O11</f>
        <v>3755160</v>
      </c>
      <c r="D18" s="17" t="n"/>
      <c r="E18" s="21" t="inlineStr">
        <is>
          <t>NOT Orizuru's revenue. This is the money flowing through the account — likely what the Business Profile's AED 2.5–4.5M turnover figure refers to.</t>
        </is>
      </c>
    </row>
    <row r="19" ht="36" customHeight="1">
      <c r="A19" s="23" t="inlineStr">
        <is>
          <t>Orizuru revenue (management fees retained)</t>
        </is>
      </c>
      <c r="B19" s="17" t="n"/>
      <c r="C19" s="15">
        <f>'OPEX Monthly'!O12</f>
        <v>751032</v>
      </c>
      <c r="D19" s="17" t="n"/>
      <c r="E19" s="21" t="inlineStr">
        <is>
          <t>Orizuru's actual top line under the commission-only model. Agree with your accountant which of these two figures goes to the bank — they are very different numbers.</t>
        </is>
      </c>
    </row>
    <row r="20" ht="22" customHeight="1">
      <c r="A20" s="23" t="inlineStr">
        <is>
          <t>Total OPEX — Year 1</t>
        </is>
      </c>
      <c r="B20" s="17" t="n"/>
      <c r="C20" s="22">
        <f>C12</f>
        <v>713738.0145</v>
      </c>
      <c r="D20" s="17" t="n"/>
      <c r="E20" s="21" t="inlineStr"/>
    </row>
    <row r="21" ht="24" customHeight="1">
      <c r="A21" s="23" t="inlineStr">
        <is>
          <t>Operating surplus / (deficit), Year 1</t>
        </is>
      </c>
      <c r="B21" s="17" t="n"/>
      <c r="C21" s="25">
        <f>C19-C20</f>
        <v>37293.98549999995</v>
      </c>
      <c r="D21" s="17" t="n"/>
      <c r="E21" s="21" t="inlineStr">
        <is>
          <t>Before corporate tax, before depreciation, and before any director remuneration.</t>
        </is>
      </c>
    </row>
    <row r="22" ht="24" customHeight="1">
      <c r="A22" s="23" t="inlineStr">
        <is>
          <t>OPEX as % of Orizuru revenue</t>
        </is>
      </c>
      <c r="B22" s="17" t="n"/>
      <c r="C22" s="26">
        <f>IF(C19=0,0,C20/C19)</f>
        <v>0.9503430140127186</v>
      </c>
      <c r="D22" s="17" t="n"/>
      <c r="E22" s="21" t="inlineStr">
        <is>
          <t>Above 100% means Year 1 runs at an operating loss — normal while a portfolio ramps from zero.</t>
        </is>
      </c>
    </row>
    <row r="24" ht="18" customHeight="1">
      <c r="A24" s="4" t="inlineStr">
        <is>
          <t>4.  TOTAL FUNDING REQUIREMENT</t>
        </is>
      </c>
      <c r="B24" s="5" t="n"/>
      <c r="C24" s="5" t="n"/>
      <c r="D24" s="5" t="n"/>
      <c r="E24" s="5" t="n"/>
    </row>
    <row r="25" ht="32" customHeight="1">
      <c r="A25" s="14" t="inlineStr">
        <is>
          <t>Peak cumulative operating cash deficit</t>
        </is>
      </c>
      <c r="B25" s="17" t="n"/>
      <c r="C25" s="15">
        <f>MIN(0,MIN('OPEX Monthly'!C93:N93))</f>
        <v>-76726.00524999999</v>
      </c>
      <c r="D25" s="17" t="n"/>
      <c r="E25" s="21" t="inlineStr">
        <is>
          <t>The worst the cumulative operating cash position ever gets during Year 1. THIS is the working capital to fund — not the annual OPEX figure.</t>
        </is>
      </c>
    </row>
    <row r="26">
      <c r="A26" s="14" t="inlineStr">
        <is>
          <t>Total CAPEX</t>
        </is>
      </c>
      <c r="B26" s="17" t="n"/>
      <c r="C26" s="22">
        <f>C9</f>
        <v>121158.4</v>
      </c>
      <c r="D26" s="17" t="n"/>
      <c r="E26" s="17" t="n"/>
    </row>
    <row r="27">
      <c r="A27" s="14" t="inlineStr">
        <is>
          <t>Safety buffer</t>
        </is>
      </c>
      <c r="B27" s="27" t="n">
        <v>0.2</v>
      </c>
      <c r="C27" s="22">
        <f>(ABS(C25)+C26)*B27</f>
        <v>39576.881049999996</v>
      </c>
      <c r="D27" s="17" t="n"/>
      <c r="E27" s="16" t="inlineStr">
        <is>
          <t>Cover for the ramp landing slower than planned. Edit the percentage in column B.</t>
        </is>
      </c>
    </row>
    <row r="28" ht="20" customHeight="1">
      <c r="A28" s="18" t="inlineStr">
        <is>
          <t>TOTAL FUNDING REQUIRED</t>
        </is>
      </c>
      <c r="B28" s="5" t="n"/>
      <c r="C28" s="19">
        <f>ABS(C25)+C26+C27</f>
        <v>237461.28629999998</v>
      </c>
      <c r="D28" s="5" t="n"/>
      <c r="E28" s="5" t="n"/>
    </row>
    <row r="29">
      <c r="A29" s="14" t="inlineStr">
        <is>
          <t>Shareholder capital available</t>
        </is>
      </c>
      <c r="B29" s="17" t="n"/>
      <c r="C29" s="28" t="n">
        <v>200000</v>
      </c>
      <c r="D29" s="17" t="n"/>
      <c r="E29" s="16" t="inlineStr">
        <is>
          <t>AED 200,000 as confirmed. The Business Profile states AED 2,000,000 — reconcile before submission.</t>
        </is>
      </c>
    </row>
    <row r="30" ht="30" customHeight="1">
      <c r="A30" s="29" t="inlineStr">
        <is>
          <t>Headroom / (shortfall)</t>
        </is>
      </c>
      <c r="B30" s="30" t="n"/>
      <c r="C30" s="31">
        <f>C29-C28</f>
        <v>-37461.28629999998</v>
      </c>
      <c r="D30" s="30" t="n"/>
      <c r="E30" s="32" t="inlineStr">
        <is>
          <t>Negative means the ramp above cannot be funded from AED 200,000. Fix it by slowing the unit ramp, taking the Low CAPEX case, or re-charging unit-level OPEX to owners — see note 6 below.</t>
        </is>
      </c>
    </row>
    <row r="32" ht="18" customHeight="1">
      <c r="A32" s="4" t="inlineStr">
        <is>
          <t>5.  READ THIS BEFORE YOU CIRCULATE</t>
        </is>
      </c>
      <c r="B32" s="5" t="n"/>
      <c r="C32" s="5" t="n"/>
      <c r="D32" s="5" t="n"/>
      <c r="E32" s="5" t="n"/>
    </row>
    <row r="33" ht="60" customHeight="1">
      <c r="A33" s="33" t="inlineStr">
        <is>
          <t>•  STAFFING SCALES WITH THE PORTFOLIO. Headcount is no longer fixed at one person: it is driven by the 'live units per operations staff member' ratio on the Assumptions tab (35 in the Base case, floor of one person), so the team grows through Year 1 as units come live. Salary stays at the AED 3,000/month specified. That rate is low for Dubai even for an operations assistant — if hiring proves harder than expected, raise the salary input rather than cutting the ratio.</t>
        </is>
      </c>
    </row>
    <row r="34" ht="47" customHeight="1">
      <c r="A34" s="33" t="inlineStr">
        <is>
          <t>•  THE 2% IS MODELLED AS ONGOING. It applies to every live unit every month, indefinitely, as confirmed. By Month 12 it is one of the largest single lines in the model and it never stops growing with the portfolio. If a one-off signing bonus was intended, this needs re-cutting — over three years the difference is very large.</t>
        </is>
      </c>
    </row>
    <row r="35" ht="47" customHeight="1">
      <c r="A35" s="33" t="inlineStr">
        <is>
          <t>•  REVENUE RECOGNITION. The Business Profile projects AED 2.5–4.5M Year-1 turnover. Under pure commission-only, Orizuru's own revenue at 70–80 units is materially lower; the AED 2.5–4.5M is closer to gross booking value passing through the account. Settle which figure you are presenting before the KYC pack goes to the bank.</t>
        </is>
      </c>
    </row>
    <row r="36" ht="47" customHeight="1">
      <c r="A36" s="33" t="inlineStr">
        <is>
          <t>•  CAPEX IS SIZED FOR ONE UNIT, OPEX RAMPS TO 80. This is deliberate and as instructed, but the two tabs are not on the same basis. If you take the portfolio to 80 units, the unit-setup CAPEX scales with it — see the scaling table on 'Unit Setup (1 Unit)' and add it to the funding requirement above.</t>
        </is>
      </c>
    </row>
    <row r="37" ht="47" customHeight="1">
      <c r="A37" s="33" t="inlineStr">
        <is>
          <t>•  MOST UNIT-LEVEL OPEX IS RE-CHARGEABLE. Housekeeping, DET permit renewals and consumables are commonly billed to the owner or the guest. Set those assumptions to 0 if your management contracts pass them through — it changes the OPEX total substantially.</t>
        </is>
      </c>
    </row>
    <row r="38" ht="86" customHeight="1">
      <c r="A38" s="33" t="inlineStr">
        <is>
          <t>•  AT AED 200,000 THE BASE CASE DOES NOT FUND ITSELF. Base CAPEX (121,158) plus the peak operating cash deficit (76,726) plus a 20% buffer comes to 237,461 against 200,000 available — a shortfall of about 37,000. Two levers close it: (a) take the Low CAPEX case, deferring the full website build and brand spend until cash turns positive, which alone gets you to roughly 20,000 of headroom; (b) re-charge unit-level OPEX (housekeeping, DET permit renewals, consumables) to owners and guests, which is standard Dubai practice. Doing both leaves about 38,000 of headroom and is the recommended path.</t>
        </is>
      </c>
    </row>
    <row r="39" ht="60" customHeight="1">
      <c r="A39" s="33" t="inlineStr">
        <is>
          <t>•  DO NOT TRY TO FIX IT BY SLOWING THE RAMP. This is counter-intuitive but the model is unambiguous: cutting the ramp from 80 units to 46 by Month 12 makes the peak cash deficit WORSE, not better (119,632 vs 76,726). Fixed OPEX — office, licence, staff, technology — runs regardless, so a slower ramp simply means paying it for longer before revenue catches up. If capital is tight, cut CAPEX and re-charge OPEX; do not cut growth.</t>
        </is>
      </c>
    </row>
  </sheetData>
  <mergeCells count="14">
    <mergeCell ref="A39:E39"/>
    <mergeCell ref="A34:E34"/>
    <mergeCell ref="A35:E35"/>
    <mergeCell ref="A4:E4"/>
    <mergeCell ref="A24:E24"/>
    <mergeCell ref="A2:E2"/>
    <mergeCell ref="A16:E16"/>
    <mergeCell ref="A38:E38"/>
    <mergeCell ref="A33:E33"/>
    <mergeCell ref="A11:E11"/>
    <mergeCell ref="A1:E1"/>
    <mergeCell ref="A37:E37"/>
    <mergeCell ref="A32:E32"/>
    <mergeCell ref="A36:E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62" customWidth="1" min="7" max="7"/>
    <col width="9" customWidth="1" min="8" max="8"/>
    <col width="9" customWidth="1" min="9" max="9"/>
    <col width="9" customWidth="1" min="10" max="10"/>
    <col width="9" customWidth="1" min="11" max="11"/>
    <col width="9" customWidth="1" min="12" max="12"/>
    <col width="9" customWidth="1" min="13" max="13"/>
    <col width="9" customWidth="1" min="14" max="14"/>
  </cols>
  <sheetData>
    <row r="1" ht="26" customHeight="1">
      <c r="A1" s="1" t="inlineStr">
        <is>
          <t>FINANCIAL SUMMARY — 5-YEAR P&amp;L, CASH FLOW &amp; RETURNS</t>
        </is>
      </c>
      <c r="B1" s="2" t="n"/>
      <c r="C1" s="2" t="n"/>
      <c r="D1" s="2" t="n"/>
      <c r="E1" s="2" t="n"/>
      <c r="F1" s="2" t="n"/>
      <c r="G1" s="2" t="n"/>
    </row>
    <row r="2" ht="16" customHeight="1">
      <c r="A2" s="3" t="inlineStr">
        <is>
          <t>All figures AED. Year 1 links live to the monthly model; Years 2–5 are driven by the inputs in section 1.</t>
        </is>
      </c>
      <c r="B2" s="2" t="n"/>
      <c r="C2" s="2" t="n"/>
      <c r="D2" s="2" t="n"/>
      <c r="E2" s="2" t="n"/>
      <c r="F2" s="2" t="n"/>
      <c r="G2" s="2" t="n"/>
    </row>
    <row r="4" ht="18" customHeight="1">
      <c r="A4" s="4" t="inlineStr">
        <is>
          <t>1.  DRIVERS  —  edit the blue cells to re-cut every number below</t>
        </is>
      </c>
      <c r="B4" s="5" t="n"/>
      <c r="C4" s="5" t="n"/>
      <c r="D4" s="5" t="n"/>
      <c r="E4" s="5" t="n"/>
      <c r="F4" s="5" t="n"/>
      <c r="G4" s="5" t="n"/>
    </row>
    <row r="5">
      <c r="A5" s="34" t="inlineStr">
        <is>
          <t>Line item</t>
        </is>
      </c>
      <c r="B5" s="35" t="inlineStr">
        <is>
          <t>Year 1</t>
        </is>
      </c>
      <c r="C5" s="35" t="inlineStr">
        <is>
          <t>Year 2</t>
        </is>
      </c>
      <c r="D5" s="35" t="inlineStr">
        <is>
          <t>Year 3</t>
        </is>
      </c>
      <c r="E5" s="35" t="inlineStr">
        <is>
          <t>Year 4</t>
        </is>
      </c>
      <c r="F5" s="35" t="inlineStr">
        <is>
          <t>Year 5</t>
        </is>
      </c>
      <c r="G5" s="6" t="inlineStr">
        <is>
          <t>Basis / note</t>
        </is>
      </c>
    </row>
    <row r="6" ht="22" customHeight="1">
      <c r="A6" s="36" t="inlineStr">
        <is>
          <t>Units under management at year end</t>
        </is>
      </c>
      <c r="B6" s="24">
        <f>'OPEX Monthly'!N8</f>
        <v>80</v>
      </c>
      <c r="C6" s="37" t="n">
        <v>130</v>
      </c>
      <c r="D6" s="37" t="n">
        <v>180</v>
      </c>
      <c r="E6" s="37" t="n">
        <v>220</v>
      </c>
      <c r="F6" s="37" t="n">
        <v>250</v>
      </c>
      <c r="G6" s="21" t="inlineStr">
        <is>
          <t>Year 1 links to the monthly model. Years 2–5 are your growth plan — the single biggest lever here.</t>
        </is>
      </c>
    </row>
    <row r="7" ht="22" customHeight="1">
      <c r="A7" s="36" t="inlineStr">
        <is>
          <t>Average live units during the year</t>
        </is>
      </c>
      <c r="B7" s="38">
        <f>AVERAGE('OPEX Monthly'!C9:N9)</f>
        <v>30.5</v>
      </c>
      <c r="C7" s="39">
        <f>(B6+C6)/2</f>
        <v>105</v>
      </c>
      <c r="D7" s="39">
        <f>(C6+D6)/2</f>
        <v>155</v>
      </c>
      <c r="E7" s="39">
        <f>(D6+E6)/2</f>
        <v>200</v>
      </c>
      <c r="F7" s="39">
        <f>(E6+F6)/2</f>
        <v>235</v>
      </c>
      <c r="G7" s="21" t="inlineStr">
        <is>
          <t>Revenue is earned by units that are LIVE, not units signed. Year 1 averages the actual monthly ramp.</t>
        </is>
      </c>
    </row>
    <row r="8" ht="20" customHeight="1">
      <c r="A8" s="36" t="inlineStr">
        <is>
          <t>Live unit-months in the year</t>
        </is>
      </c>
      <c r="B8" s="38">
        <f>SUM('OPEX Monthly'!C9:N9)</f>
        <v>366</v>
      </c>
      <c r="C8" s="39">
        <f>C7*12</f>
        <v>1260</v>
      </c>
      <c r="D8" s="39">
        <f>D7*12</f>
        <v>1860</v>
      </c>
      <c r="E8" s="39">
        <f>E7*12</f>
        <v>2400</v>
      </c>
      <c r="F8" s="39">
        <f>F7*12</f>
        <v>2820</v>
      </c>
      <c r="G8" s="21" t="inlineStr">
        <is>
          <t>Drives every per-unit variable cost.</t>
        </is>
      </c>
    </row>
    <row r="9" ht="22" customHeight="1">
      <c r="A9" s="36" t="inlineStr">
        <is>
          <t>Price inflation (ADR)</t>
        </is>
      </c>
      <c r="B9" s="40">
        <f>0</f>
        <v>0</v>
      </c>
      <c r="C9" s="41" t="n">
        <v>0.03</v>
      </c>
      <c r="D9" s="41" t="n">
        <v>0.03</v>
      </c>
      <c r="E9" s="41" t="n">
        <v>0.03</v>
      </c>
      <c r="F9" s="41" t="n">
        <v>0.03</v>
      </c>
      <c r="G9" s="21" t="inlineStr">
        <is>
          <t>Applied to ADR from Year 2. Dubai STR rates have run ahead of this; 3% is deliberately conservative.</t>
        </is>
      </c>
    </row>
    <row r="10" ht="20" customHeight="1">
      <c r="A10" s="36" t="inlineStr">
        <is>
          <t>Cost inflation</t>
        </is>
      </c>
      <c r="B10" s="40">
        <f>0</f>
        <v>0</v>
      </c>
      <c r="C10" s="41" t="n">
        <v>0.04</v>
      </c>
      <c r="D10" s="41" t="n">
        <v>0.04</v>
      </c>
      <c r="E10" s="41" t="n">
        <v>0.04</v>
      </c>
      <c r="F10" s="41" t="n">
        <v>0.04</v>
      </c>
      <c r="G10" s="21" t="inlineStr">
        <is>
          <t>Applied to all fixed and per-unit costs from Year 2.</t>
        </is>
      </c>
    </row>
    <row r="11" ht="20" customHeight="1">
      <c r="A11" s="36" t="inlineStr">
        <is>
          <t>Average Daily Rate</t>
        </is>
      </c>
      <c r="B11" s="42">
        <f>Assumptions!$F$11</f>
        <v>450</v>
      </c>
      <c r="C11" s="42">
        <f>B11*(1+C9)</f>
        <v>463.5</v>
      </c>
      <c r="D11" s="42">
        <f>C11*(1+D9)</f>
        <v>477.40500000000003</v>
      </c>
      <c r="E11" s="42">
        <f>D11*(1+E9)</f>
        <v>491.72715000000005</v>
      </c>
      <c r="F11" s="42">
        <f>E11*(1+F9)</f>
        <v>506.4789645000001</v>
      </c>
      <c r="G11" s="21" t="inlineStr">
        <is>
          <t>Year 1 from the Assumptions tab.</t>
        </is>
      </c>
    </row>
    <row r="12" ht="20" customHeight="1">
      <c r="A12" s="36" t="inlineStr">
        <is>
          <t>Gross booking revenue per unit per month</t>
        </is>
      </c>
      <c r="B12" s="42">
        <f>B11*Assumptions!$F$12*Assumptions!$F$13</f>
        <v>10260</v>
      </c>
      <c r="C12" s="42">
        <f>C11*Assumptions!$F$12*Assumptions!$F$13</f>
        <v>10567.8</v>
      </c>
      <c r="D12" s="42">
        <f>D11*Assumptions!$F$12*Assumptions!$F$13</f>
        <v>10884.834</v>
      </c>
      <c r="E12" s="42">
        <f>E11*Assumptions!$F$12*Assumptions!$F$13</f>
        <v>11211.37902</v>
      </c>
      <c r="F12" s="42">
        <f>F11*Assumptions!$F$12*Assumptions!$F$13</f>
        <v>11547.720390600001</v>
      </c>
      <c r="G12" s="21" t="inlineStr">
        <is>
          <t>What the guest pays. NOT Orizuru revenue.</t>
        </is>
      </c>
    </row>
    <row r="13" ht="44" customHeight="1">
      <c r="A13" s="36" t="inlineStr">
        <is>
          <t>Operations &amp; service headcount (average)</t>
        </is>
      </c>
      <c r="B13" s="38">
        <f>AVERAGE('OPEX Monthly'!C10:N10)</f>
        <v>1.5</v>
      </c>
      <c r="C13" s="39">
        <f>MAX(Assumptions!$F$19,ROUNDUP(C7/Assumptions!$F$20,0))</f>
        <v>3</v>
      </c>
      <c r="D13" s="39">
        <f>MAX(Assumptions!$F$19,ROUNDUP(D7/Assumptions!$F$20,0))</f>
        <v>5</v>
      </c>
      <c r="E13" s="39">
        <f>MAX(Assumptions!$F$19,ROUNDUP(E7/Assumptions!$F$20,0))</f>
        <v>6</v>
      </c>
      <c r="F13" s="39">
        <f>MAX(Assumptions!$F$19,ROUNDUP(F7/Assumptions!$F$20,0))</f>
        <v>7</v>
      </c>
      <c r="G13" s="21" t="inlineStr">
        <is>
          <t>Driven by the 'live units per operations staff member' ratio on the Assumptions tab, with a floor of one person. Year 1 is the average of the actual monthly ramp. Change the ratio there and headcount, staff cost and EBITDA all move together.</t>
        </is>
      </c>
    </row>
    <row r="14" ht="20" customHeight="1">
      <c r="A14" s="36" t="inlineStr">
        <is>
          <t>Average salary per operations head (monthly)</t>
        </is>
      </c>
      <c r="B14" s="42">
        <f>Assumptions!$F$21</f>
        <v>3000</v>
      </c>
      <c r="C14" s="42">
        <f>B14*(1+C10)</f>
        <v>3120</v>
      </c>
      <c r="D14" s="42">
        <f>C14*(1+D10)</f>
        <v>3244.8</v>
      </c>
      <c r="E14" s="42">
        <f>D14*(1+E10)</f>
        <v>3374.592</v>
      </c>
      <c r="F14" s="42">
        <f>E14*(1+F10)</f>
        <v>3509.5756800000004</v>
      </c>
      <c r="G14" s="21" t="inlineStr">
        <is>
          <t>Year 1 as specified by management.</t>
        </is>
      </c>
    </row>
    <row r="15" ht="18" customHeight="1">
      <c r="A15" s="4" t="inlineStr">
        <is>
          <t>1b.  FINANCIAL INPUTS  —  used by the cash flow and returns sections below</t>
        </is>
      </c>
      <c r="B15" s="5" t="n"/>
      <c r="C15" s="5" t="n"/>
      <c r="D15" s="5" t="n"/>
      <c r="E15" s="5" t="n"/>
      <c r="F15" s="5" t="n"/>
      <c r="G15" s="5" t="n"/>
    </row>
    <row r="16">
      <c r="A16" s="34" t="inlineStr">
        <is>
          <t>Input</t>
        </is>
      </c>
      <c r="B16" s="35" t="inlineStr">
        <is>
          <t>Value</t>
        </is>
      </c>
      <c r="C16" s="43" t="n"/>
      <c r="D16" s="43" t="n"/>
      <c r="E16" s="43" t="n"/>
      <c r="F16" s="43" t="n"/>
      <c r="G16" s="35" t="inlineStr">
        <is>
          <t>Basis / note</t>
        </is>
      </c>
    </row>
    <row r="17" ht="66" customHeight="1">
      <c r="A17" s="36" t="inlineStr">
        <is>
          <t>Fixed-cost step-up with portfolio growth</t>
        </is>
      </c>
      <c r="B17" s="41" t="n">
        <v>0.4</v>
      </c>
      <c r="C17" s="17" t="n"/>
      <c r="D17" s="17" t="n"/>
      <c r="E17" s="17" t="n"/>
      <c r="F17" s="17" t="n"/>
      <c r="G17" s="21" t="inlineStr">
        <is>
          <t>Share of portfolio growth that flows into 'other fixed costs'. A business running 235 units does not carry the same office, marketing and admin base as one running 30. At 40%, a doubling of the portfolio raises fixed costs by 40%. Set to 0% to assume pure operating leverage — optimistic, and the reason unadjusted models show implausible margins.</t>
        </is>
      </c>
    </row>
    <row r="18" ht="44" customHeight="1">
      <c r="A18" s="36" t="inlineStr">
        <is>
          <t>Share of unit-onboarding cost borne by Orizuru</t>
        </is>
      </c>
      <c r="B18" s="41" t="n">
        <v>0</v>
      </c>
      <c r="C18" s="17" t="n"/>
      <c r="D18" s="17" t="n"/>
      <c r="E18" s="17" t="n"/>
      <c r="F18" s="17" t="n"/>
      <c r="G18" s="21" t="inlineStr">
        <is>
          <t>SET TO 0% per the instruction that only ONE unit's setup sits in CAPEX — i.e. onboarding is re-charged to the owner. Raise it to see what self-funding the rollout costs. Sensitivity below.</t>
        </is>
      </c>
    </row>
    <row r="19" ht="20" customHeight="1">
      <c r="A19" s="36" t="inlineStr">
        <is>
          <t>Working capital as % of revenue</t>
        </is>
      </c>
      <c r="B19" s="41" t="n">
        <v>0.05</v>
      </c>
      <c r="C19" s="17" t="n"/>
      <c r="D19" s="17" t="n"/>
      <c r="E19" s="17" t="n"/>
      <c r="F19" s="17" t="n"/>
      <c r="G19" s="21" t="inlineStr">
        <is>
          <t>Cash tied up in guest and OTA settlement timing.</t>
        </is>
      </c>
    </row>
    <row r="20" ht="22" customHeight="1">
      <c r="A20" s="36" t="inlineStr">
        <is>
          <t>Discount rate (cost of equity)</t>
        </is>
      </c>
      <c r="B20" s="41" t="n">
        <v>0.2</v>
      </c>
      <c r="C20" s="17" t="n"/>
      <c r="D20" s="17" t="n"/>
      <c r="E20" s="17" t="n"/>
      <c r="F20" s="17" t="n"/>
      <c r="G20" s="21" t="inlineStr">
        <is>
          <t>20% is a reasonable hurdle for an unlisted, pre-trading UAE SME. Lower it and NPV rises.</t>
        </is>
      </c>
    </row>
    <row r="21" ht="33" customHeight="1">
      <c r="A21" s="36" t="inlineStr">
        <is>
          <t>Exit EBITDA multiple</t>
        </is>
      </c>
      <c r="B21" s="44" t="n">
        <v>4</v>
      </c>
      <c r="C21" s="17" t="n"/>
      <c r="D21" s="17" t="n"/>
      <c r="E21" s="17" t="n"/>
      <c r="F21" s="17" t="n"/>
      <c r="G21" s="21" t="inlineStr">
        <is>
          <t>Assumes a trade sale at the end of Year 5. 4x final-year EBITDA is typical for an asset-light property-management book of this size.</t>
        </is>
      </c>
    </row>
    <row r="22" ht="20" customHeight="1">
      <c r="A22" s="36" t="inlineStr">
        <is>
          <t>Shareholder capital invested (Year 0)</t>
        </is>
      </c>
      <c r="B22" s="15">
        <f>'Funding Summary'!C29</f>
        <v>200000</v>
      </c>
      <c r="C22" s="17" t="n"/>
      <c r="D22" s="17" t="n"/>
      <c r="E22" s="17" t="n"/>
      <c r="F22" s="17" t="n"/>
      <c r="G22" s="21" t="inlineStr">
        <is>
          <t>Links to the Funding Summary.</t>
        </is>
      </c>
    </row>
    <row r="23" ht="18" customHeight="1">
      <c r="A23" s="4" t="inlineStr">
        <is>
          <t>2.  INCOME STATEMENT (P&amp;L)</t>
        </is>
      </c>
      <c r="B23" s="5" t="n"/>
      <c r="C23" s="5" t="n"/>
      <c r="D23" s="5" t="n"/>
      <c r="E23" s="5" t="n"/>
      <c r="F23" s="5" t="n"/>
      <c r="G23" s="5" t="n"/>
    </row>
    <row r="24">
      <c r="A24" s="34" t="inlineStr">
        <is>
          <t>Line item</t>
        </is>
      </c>
      <c r="B24" s="35" t="inlineStr">
        <is>
          <t>Year 1</t>
        </is>
      </c>
      <c r="C24" s="35" t="inlineStr">
        <is>
          <t>Year 2</t>
        </is>
      </c>
      <c r="D24" s="35" t="inlineStr">
        <is>
          <t>Year 3</t>
        </is>
      </c>
      <c r="E24" s="35" t="inlineStr">
        <is>
          <t>Year 4</t>
        </is>
      </c>
      <c r="F24" s="35" t="inlineStr">
        <is>
          <t>Year 5</t>
        </is>
      </c>
      <c r="G24" s="6" t="inlineStr">
        <is>
          <t>Basis / note</t>
        </is>
      </c>
    </row>
    <row r="25" ht="22" customHeight="1">
      <c r="A25" s="45" t="inlineStr">
        <is>
          <t>Gross booking value handled (memo)</t>
        </is>
      </c>
      <c r="B25" s="46">
        <f>'OPEX Monthly'!O11</f>
        <v>3755160</v>
      </c>
      <c r="C25" s="47">
        <f>C7*C12*12</f>
        <v>13315428</v>
      </c>
      <c r="D25" s="47">
        <f>D7*D12*12</f>
        <v>20245791.240000002</v>
      </c>
      <c r="E25" s="47">
        <f>E7*E12*12</f>
        <v>26907309.648000002</v>
      </c>
      <c r="F25" s="47">
        <f>F7*F12*12</f>
        <v>32564571.501492005</v>
      </c>
      <c r="G25" s="21" t="inlineStr">
        <is>
          <t>MEMO ONLY — this is guest money flowing through the account, not revenue. Never present this as turnover.</t>
        </is>
      </c>
    </row>
    <row r="26" ht="20" customHeight="1">
      <c r="A26" s="48" t="inlineStr">
        <is>
          <t>REVENUE — management fees retained</t>
        </is>
      </c>
      <c r="B26" s="49">
        <f>'OPEX Monthly'!O12</f>
        <v>751032</v>
      </c>
      <c r="C26" s="50">
        <f>C25*Assumptions!$F$15</f>
        <v>2663085.6</v>
      </c>
      <c r="D26" s="50">
        <f>D25*Assumptions!$F$15</f>
        <v>4049158.2480000006</v>
      </c>
      <c r="E26" s="50">
        <f>E25*Assumptions!$F$15</f>
        <v>5381461.9296</v>
      </c>
      <c r="F26" s="50">
        <f>F25*Assumptions!$F$15</f>
        <v>6512914.300298401</v>
      </c>
      <c r="G26" s="51" t="inlineStr">
        <is>
          <t>Orizuru's actual top line under the commission-only model.</t>
        </is>
      </c>
    </row>
    <row r="27">
      <c r="A27" s="52" t="inlineStr">
        <is>
          <t>Variable costs</t>
        </is>
      </c>
    </row>
    <row r="28" ht="22" customHeight="1">
      <c r="A28" s="36" t="inlineStr">
        <is>
          <t>Unit operations (permits, cleaning, consumables, maintenance, linen)</t>
        </is>
      </c>
      <c r="B28" s="15">
        <f>'OPEX Monthly'!O61</f>
        <v>196420.00000000003</v>
      </c>
      <c r="C28" s="42">
        <f>C8*(Assumptions!$F$52/12+Assumptions!$F$53+Assumptions!$F$54+Assumptions!$F$55+Assumptions!$F$56)*(1+C10)^(1)</f>
        <v>703248.0000000001</v>
      </c>
      <c r="D28" s="42">
        <f>D8*(Assumptions!$F$52/12+Assumptions!$F$53+Assumptions!$F$54+Assumptions!$F$55+Assumptions!$F$56)*(1+D10)^(2)</f>
        <v>1079653.1200000003</v>
      </c>
      <c r="E28" s="42">
        <f>E8*(Assumptions!$F$52/12+Assumptions!$F$53+Assumptions!$F$54+Assumptions!$F$55+Assumptions!$F$56)*(1+E10)^(3)</f>
        <v>1448824.8320000004</v>
      </c>
      <c r="F28" s="42">
        <f>F8*(Assumptions!$F$52/12+Assumptions!$F$53+Assumptions!$F$54+Assumptions!$F$55+Assumptions!$F$56)*(1+F10)^(4)</f>
        <v>1770463.9447040006</v>
      </c>
      <c r="G28" s="21" t="inlineStr">
        <is>
          <t>Scales directly with the portfolio. Much of it is re-chargeable to owners — see the note at the foot of this tab.</t>
        </is>
      </c>
    </row>
    <row r="29" ht="20" customHeight="1">
      <c r="A29" s="36" t="inlineStr">
        <is>
          <t>Unit technology (PMS, dynamic pricing, smart locks)</t>
        </is>
      </c>
      <c r="B29" s="15">
        <f>'OPEX Monthly'!C9*0+SUM('OPEX Monthly'!C9:N9)*(Assumptions!$F$43+Assumptions!$F$44+Assumptions!$F$45)</f>
        <v>45750</v>
      </c>
      <c r="C29" s="42">
        <f>C8*(Assumptions!$F$43+Assumptions!$F$44+Assumptions!$F$45)*(1+C10)^(1)</f>
        <v>163800</v>
      </c>
      <c r="D29" s="42">
        <f>D8*(Assumptions!$F$43+Assumptions!$F$44+Assumptions!$F$45)*(1+D10)^(2)</f>
        <v>251472.00000000003</v>
      </c>
      <c r="E29" s="42">
        <f>E8*(Assumptions!$F$43+Assumptions!$F$44+Assumptions!$F$45)*(1+E10)^(3)</f>
        <v>337459.2</v>
      </c>
      <c r="F29" s="42">
        <f>F8*(Assumptions!$F$43+Assumptions!$F$44+Assumptions!$F$45)*(1+F10)^(4)</f>
        <v>412375.14240000007</v>
      </c>
      <c r="G29" s="21" t="inlineStr">
        <is>
          <t>Priced per property, so it scales one-for-one with units.</t>
        </is>
      </c>
    </row>
    <row r="30" ht="22" customHeight="1">
      <c r="A30" s="36" t="inlineStr">
        <is>
          <t>Unit-acquisition commission (2%, ongoing)</t>
        </is>
      </c>
      <c r="B30" s="15">
        <f>'OPEX Monthly'!O42</f>
        <v>75103.20000000001</v>
      </c>
      <c r="C30" s="42">
        <f>C25*Assumptions!$F$40</f>
        <v>266308.56</v>
      </c>
      <c r="D30" s="42">
        <f>D25*Assumptions!$F$40</f>
        <v>404915.82480000006</v>
      </c>
      <c r="E30" s="42">
        <f>E25*Assumptions!$F$40</f>
        <v>538146.19296</v>
      </c>
      <c r="F30" s="42">
        <f>F25*Assumptions!$F$40</f>
        <v>651291.4300298401</v>
      </c>
      <c r="G30" s="21" t="inlineStr">
        <is>
          <t>Charged on every live unit every month, indefinitely. Grows in line with the portfolio and never stops.</t>
        </is>
      </c>
    </row>
    <row r="31" ht="20" customHeight="1">
      <c r="A31" s="53" t="inlineStr">
        <is>
          <t>Total variable costs</t>
        </is>
      </c>
      <c r="B31" s="54">
        <f>B28+B29+B30</f>
        <v>317273.20000000007</v>
      </c>
      <c r="C31" s="54">
        <f>C28+C29+C30</f>
        <v>1133356.56</v>
      </c>
      <c r="D31" s="54">
        <f>D28+D29+D30</f>
        <v>1736040.9448000004</v>
      </c>
      <c r="E31" s="54">
        <f>E28+E29+E30</f>
        <v>2324430.2249600003</v>
      </c>
      <c r="F31" s="54">
        <f>F28+F29+F30</f>
        <v>2834130.517133841</v>
      </c>
      <c r="G31" s="21" t="inlineStr"/>
    </row>
    <row r="32" ht="20" customHeight="1">
      <c r="A32" s="55" t="inlineStr">
        <is>
          <t>GROSS PROFIT</t>
        </is>
      </c>
      <c r="B32" s="56">
        <f>B26-B31</f>
        <v>433758.79999999993</v>
      </c>
      <c r="C32" s="56">
        <f>C26-C31</f>
        <v>1529729.04</v>
      </c>
      <c r="D32" s="56">
        <f>D26-D31</f>
        <v>2313117.3032</v>
      </c>
      <c r="E32" s="56">
        <f>E26-E31</f>
        <v>3057031.70464</v>
      </c>
      <c r="F32" s="56">
        <f>F26-F31</f>
        <v>3678783.7831645603</v>
      </c>
      <c r="G32" s="32" t="inlineStr"/>
    </row>
    <row r="33" ht="22" customHeight="1">
      <c r="A33" s="45" t="inlineStr">
        <is>
          <t>Gross margin</t>
        </is>
      </c>
      <c r="B33" s="57">
        <f>IF(B26=0,0,B32/B26)</f>
        <v>0.5775503573749187</v>
      </c>
      <c r="C33" s="57">
        <f>IF(C26=0,0,C32/C26)</f>
        <v>0.5744197783203063</v>
      </c>
      <c r="D33" s="57">
        <f>IF(D26=0,0,D32/D26)</f>
        <v>0.5712588052942899</v>
      </c>
      <c r="E33" s="57">
        <f>IF(E26=0,0,E32/E26)</f>
        <v>0.5680671432097685</v>
      </c>
      <c r="F33" s="57">
        <f>IF(F26=0,0,F32/F26)</f>
        <v>0.5648444941147176</v>
      </c>
      <c r="G33" s="21" t="inlineStr">
        <is>
          <t>Contribution left over after the costs that grow with the portfolio.</t>
        </is>
      </c>
    </row>
    <row r="34">
      <c r="A34" s="52" t="inlineStr">
        <is>
          <t>Fixed operating costs</t>
        </is>
      </c>
    </row>
    <row r="35" ht="44" customHeight="1">
      <c r="A35" s="36" t="inlineStr">
        <is>
          <t>Staff (salaries, visas, insurance, gratuity, WPS)</t>
        </is>
      </c>
      <c r="B35" s="15">
        <f>'OPEX Monthly'!O22</f>
        <v>64242</v>
      </c>
      <c r="C35" s="42">
        <f>C13*C14*12*($B$35/MAX(1,$B$13*$B$14*12))</f>
        <v>133623.36</v>
      </c>
      <c r="D35" s="42">
        <f>D13*D14*12*($B$35/MAX(1,$B$13*$B$14*12))</f>
        <v>231613.824</v>
      </c>
      <c r="E35" s="42">
        <f>E13*E14*12*($B$35/MAX(1,$B$13*$B$14*12))</f>
        <v>289054.052352</v>
      </c>
      <c r="F35" s="42">
        <f>F13*F14*12*($B$35/MAX(1,$B$13*$B$14*12))</f>
        <v>350718.91685376</v>
      </c>
      <c r="G35" s="21" t="inlineStr">
        <is>
          <t>Headcount x salary x 12, grossed up by the same employment loading as Year 1 (visas, mandatory insurance, gratuity, WPS) — roughly 19% on top of salary. Directors remain unpaid throughout.</t>
        </is>
      </c>
    </row>
    <row r="36" ht="55" customHeight="1">
      <c r="A36" s="36" t="inlineStr">
        <is>
          <t>All other fixed costs (marketing, technology, office, compliance, contingency)</t>
        </is>
      </c>
      <c r="B36" s="15">
        <f>'OPEX Summary'!B14-B28-B29-B30-B35</f>
        <v>332222.81450000004</v>
      </c>
      <c r="C36" s="42">
        <f>B36*(1+C10)*(1+$B$17*IF(B7=0,0,C7/B7-1))</f>
        <v>683093.6768171804</v>
      </c>
      <c r="D36" s="42">
        <f>C36*(1+D10)*(1+$B$17*IF(C7=0,0,D7/C7-1))</f>
        <v>845735.0284403185</v>
      </c>
      <c r="E36" s="42">
        <f>D36*(1+E10)*(1+$B$17*IF(D7=0,0,E7/D7-1))</f>
        <v>981707.3955934331</v>
      </c>
      <c r="F36" s="42">
        <f>E36*(1+F10)*(1+$B$17*IF(E7=0,0,F7/E7-1))</f>
        <v>1092443.9898163725</v>
      </c>
      <c r="G36" s="21" t="inlineStr">
        <is>
          <t>Year 1 is derived so that this tab ties EXACTLY to total Year-1 OPEX on the monthly model. Years 2–5 grow with cost inflation PLUS a step-up for portfolio growth (driver in section 1b) — a bigger book needs a bigger office, more marketing and more admin.</t>
        </is>
      </c>
    </row>
    <row r="37" ht="20" customHeight="1">
      <c r="A37" s="53" t="inlineStr">
        <is>
          <t>Total fixed costs</t>
        </is>
      </c>
      <c r="B37" s="54">
        <f>B35+B36</f>
        <v>396464.81450000004</v>
      </c>
      <c r="C37" s="54">
        <f>C35+C36</f>
        <v>816717.0368171803</v>
      </c>
      <c r="D37" s="54">
        <f>D35+D36</f>
        <v>1077348.8524403186</v>
      </c>
      <c r="E37" s="54">
        <f>E35+E36</f>
        <v>1270761.4479454332</v>
      </c>
      <c r="F37" s="54">
        <f>F35+F36</f>
        <v>1443162.9066701327</v>
      </c>
      <c r="G37" s="21" t="inlineStr"/>
    </row>
    <row r="38" ht="22" customHeight="1">
      <c r="A38" s="55" t="inlineStr">
        <is>
          <t>EBITDA</t>
        </is>
      </c>
      <c r="B38" s="56">
        <f>B32-B37</f>
        <v>37293.98549999989</v>
      </c>
      <c r="C38" s="56">
        <f>C32-C37</f>
        <v>713012.0031828197</v>
      </c>
      <c r="D38" s="56">
        <f>D32-D37</f>
        <v>1235768.4507596814</v>
      </c>
      <c r="E38" s="56">
        <f>E32-E37</f>
        <v>1786270.256694567</v>
      </c>
      <c r="F38" s="56">
        <f>F32-F37</f>
        <v>2235620.8764944277</v>
      </c>
      <c r="G38" s="32" t="inlineStr">
        <is>
          <t>Earnings before interest, tax, depreciation and amortisation. The headline operating profit measure.</t>
        </is>
      </c>
    </row>
    <row r="39" ht="22" customHeight="1">
      <c r="A39" s="58" t="inlineStr">
        <is>
          <t>EBITDA margin</t>
        </is>
      </c>
      <c r="B39" s="59">
        <f>IF(B26=0,0,B38/B26)</f>
        <v>0.04965698598728136</v>
      </c>
      <c r="C39" s="59">
        <f>IF(C26=0,0,C38/C26)</f>
        <v>0.2677390479610643</v>
      </c>
      <c r="D39" s="59">
        <f>IF(D26=0,0,D38/D26)</f>
        <v>0.3051914435228764</v>
      </c>
      <c r="E39" s="59">
        <f>IF(E26=0,0,E38/E26)</f>
        <v>0.33193029702011456</v>
      </c>
      <c r="F39" s="59">
        <f>IF(F26=0,0,F38/F26)</f>
        <v>0.3432596796785732</v>
      </c>
      <c r="G39" s="21" t="inlineStr">
        <is>
          <t>Asset-light property management typically runs 20–35% at scale.</t>
        </is>
      </c>
    </row>
    <row r="40" ht="33" customHeight="1">
      <c r="A40" s="45" t="inlineStr">
        <is>
          <t>Capital expenditure in year</t>
        </is>
      </c>
      <c r="B40" s="46">
        <f>'Funding Summary'!C9</f>
        <v>121158.4</v>
      </c>
      <c r="C40" s="46">
        <f>(C6-B6)*'Unit Setup (1 Unit)'!E17*$B$18</f>
        <v>0</v>
      </c>
      <c r="D40" s="46">
        <f>(D6-C6)*'Unit Setup (1 Unit)'!E17*$B$18</f>
        <v>0</v>
      </c>
      <c r="E40" s="46">
        <f>(E6-D6)*'Unit Setup (1 Unit)'!E17*$B$18</f>
        <v>0</v>
      </c>
      <c r="F40" s="46">
        <f>(F6-E6)*'Unit Setup (1 Unit)'!E17*$B$18</f>
        <v>0</v>
      </c>
      <c r="G40" s="21" t="inlineStr">
        <is>
          <t>Year 1 is the full CAPEX from the Funding Summary. Years 2–5 are unit-onboarding cost on NEW units only, scaled by the share Orizuru bears (driver in section 4).</t>
        </is>
      </c>
    </row>
    <row r="41" ht="22" customHeight="1">
      <c r="A41" s="36" t="inlineStr">
        <is>
          <t>Depreciation &amp; amortisation</t>
        </is>
      </c>
      <c r="B41" s="42">
        <f>B40/3</f>
        <v>40386.13333333333</v>
      </c>
      <c r="C41" s="42">
        <f>SUM($B40:C40)/3</f>
        <v>40386.13333333333</v>
      </c>
      <c r="D41" s="42">
        <f>SUM($B40:D40)/3</f>
        <v>40386.13333333333</v>
      </c>
      <c r="E41" s="42">
        <f>SUM(C40:E40)/3</f>
        <v>0</v>
      </c>
      <c r="F41" s="42">
        <f>SUM(D40:F40)/3</f>
        <v>0</v>
      </c>
      <c r="G41" s="21" t="inlineStr">
        <is>
          <t>Straight line over 3 years. Non-cash — added back in the cash flow below.</t>
        </is>
      </c>
    </row>
    <row r="42" ht="20" customHeight="1">
      <c r="A42" s="53" t="inlineStr">
        <is>
          <t>EBIT (operating profit)</t>
        </is>
      </c>
      <c r="B42" s="54">
        <f>B38-B41</f>
        <v>-3092.147833333438</v>
      </c>
      <c r="C42" s="54">
        <f>C38-C41</f>
        <v>672625.8698494864</v>
      </c>
      <c r="D42" s="54">
        <f>D38-D41</f>
        <v>1195382.317426348</v>
      </c>
      <c r="E42" s="54">
        <f>E38-E41</f>
        <v>1786270.256694567</v>
      </c>
      <c r="F42" s="54">
        <f>F38-F41</f>
        <v>2235620.8764944277</v>
      </c>
      <c r="G42" s="21" t="inlineStr"/>
    </row>
    <row r="43" ht="22" customHeight="1">
      <c r="A43" s="36" t="inlineStr">
        <is>
          <t>Profit before tax</t>
        </is>
      </c>
      <c r="B43" s="42">
        <f>B42</f>
        <v>-3092.147833333438</v>
      </c>
      <c r="C43" s="42">
        <f>C42</f>
        <v>672625.8698494864</v>
      </c>
      <c r="D43" s="42">
        <f>D42</f>
        <v>1195382.317426348</v>
      </c>
      <c r="E43" s="42">
        <f>E42</f>
        <v>1786270.256694567</v>
      </c>
      <c r="F43" s="42">
        <f>F42</f>
        <v>2235620.8764944277</v>
      </c>
      <c r="G43" s="21" t="inlineStr">
        <is>
          <t>No debt assumed, so no interest charge. Add a finance cost line here if the company borrows.</t>
        </is>
      </c>
    </row>
    <row r="44" ht="22" customHeight="1">
      <c r="A44" s="36" t="inlineStr">
        <is>
          <t>UAE Corporate Tax</t>
        </is>
      </c>
      <c r="B44" s="42">
        <f>-MAX(0,(B43-375000)*0.09)</f>
        <v>0</v>
      </c>
      <c r="C44" s="42">
        <f>-MAX(0,(C43-375000)*0.09)</f>
        <v>-26786.328286453776</v>
      </c>
      <c r="D44" s="42">
        <f>-MAX(0,(D43-375000)*0.09)</f>
        <v>-73834.40856837132</v>
      </c>
      <c r="E44" s="42">
        <f>-MAX(0,(E43-375000)*0.09)</f>
        <v>-127014.32310251101</v>
      </c>
      <c r="F44" s="42">
        <f>-MAX(0,(F43-375000)*0.09)</f>
        <v>-167455.8788844985</v>
      </c>
      <c r="G44" s="21" t="inlineStr">
        <is>
          <t>9% on taxable profit above the AED 375,000 threshold. Nil below it.</t>
        </is>
      </c>
    </row>
    <row r="45" ht="20" customHeight="1">
      <c r="A45" s="55" t="inlineStr">
        <is>
          <t>NET PROFIT</t>
        </is>
      </c>
      <c r="B45" s="56">
        <f>B43+B44</f>
        <v>-3092.147833333438</v>
      </c>
      <c r="C45" s="56">
        <f>C43+C44</f>
        <v>645839.5415630327</v>
      </c>
      <c r="D45" s="56">
        <f>D43+D44</f>
        <v>1121547.9088579768</v>
      </c>
      <c r="E45" s="56">
        <f>E43+E44</f>
        <v>1659255.933592056</v>
      </c>
      <c r="F45" s="56">
        <f>F43+F44</f>
        <v>2068164.9976099292</v>
      </c>
      <c r="G45" s="32" t="inlineStr"/>
    </row>
    <row r="46" ht="20" customHeight="1">
      <c r="A46" s="45" t="inlineStr">
        <is>
          <t>Net margin</t>
        </is>
      </c>
      <c r="B46" s="57">
        <f>IF(B26=0,0,B45/B26)</f>
        <v>-0.004117198512624546</v>
      </c>
      <c r="C46" s="57">
        <f>IF(C26=0,0,C45/C26)</f>
        <v>0.24251550215397982</v>
      </c>
      <c r="D46" s="57">
        <f>IF(D26=0,0,D45/D26)</f>
        <v>0.2769829777366549</v>
      </c>
      <c r="E46" s="57">
        <f>IF(E26=0,0,E45/E26)</f>
        <v>0.30832810030031876</v>
      </c>
      <c r="F46" s="57">
        <f>IF(F26=0,0,F45/F26)</f>
        <v>0.3175483204984246</v>
      </c>
      <c r="G46" s="21" t="inlineStr"/>
    </row>
    <row r="47" ht="18" customHeight="1">
      <c r="A47" s="4" t="inlineStr">
        <is>
          <t>3.  CASH FLOW</t>
        </is>
      </c>
      <c r="B47" s="5" t="n"/>
      <c r="C47" s="5" t="n"/>
      <c r="D47" s="5" t="n"/>
      <c r="E47" s="5" t="n"/>
      <c r="F47" s="5" t="n"/>
      <c r="G47" s="5" t="n"/>
    </row>
    <row r="48">
      <c r="A48" s="34" t="inlineStr">
        <is>
          <t>Line item</t>
        </is>
      </c>
      <c r="B48" s="35" t="inlineStr">
        <is>
          <t>Year 1</t>
        </is>
      </c>
      <c r="C48" s="35" t="inlineStr">
        <is>
          <t>Year 2</t>
        </is>
      </c>
      <c r="D48" s="35" t="inlineStr">
        <is>
          <t>Year 3</t>
        </is>
      </c>
      <c r="E48" s="35" t="inlineStr">
        <is>
          <t>Year 4</t>
        </is>
      </c>
      <c r="F48" s="35" t="inlineStr">
        <is>
          <t>Year 5</t>
        </is>
      </c>
      <c r="G48" s="6" t="inlineStr">
        <is>
          <t>Basis / note</t>
        </is>
      </c>
    </row>
    <row r="49" ht="20" customHeight="1">
      <c r="A49" s="36" t="inlineStr">
        <is>
          <t>EBITDA</t>
        </is>
      </c>
      <c r="B49" s="42">
        <f>B38</f>
        <v>37293.98549999989</v>
      </c>
      <c r="C49" s="42">
        <f>C38</f>
        <v>713012.0031828197</v>
      </c>
      <c r="D49" s="42">
        <f>D38</f>
        <v>1235768.4507596814</v>
      </c>
      <c r="E49" s="42">
        <f>E38</f>
        <v>1786270.256694567</v>
      </c>
      <c r="F49" s="42">
        <f>F38</f>
        <v>2235620.8764944277</v>
      </c>
      <c r="G49" s="21" t="inlineStr"/>
    </row>
    <row r="50" ht="20" customHeight="1">
      <c r="A50" s="36" t="inlineStr">
        <is>
          <t>Corporate tax paid</t>
        </is>
      </c>
      <c r="B50" s="42">
        <f>B44</f>
        <v>0</v>
      </c>
      <c r="C50" s="42">
        <f>C44</f>
        <v>-26786.328286453776</v>
      </c>
      <c r="D50" s="42">
        <f>D44</f>
        <v>-73834.40856837132</v>
      </c>
      <c r="E50" s="42">
        <f>E44</f>
        <v>-127014.32310251101</v>
      </c>
      <c r="F50" s="42">
        <f>F44</f>
        <v>-167455.8788844985</v>
      </c>
      <c r="G50" s="21" t="inlineStr"/>
    </row>
    <row r="51" ht="20" customHeight="1">
      <c r="A51" s="36" t="inlineStr">
        <is>
          <t>Capital expenditure</t>
        </is>
      </c>
      <c r="B51" s="42">
        <f>-B40</f>
        <v>-121158.4</v>
      </c>
      <c r="C51" s="42">
        <f>-C40</f>
        <v>0</v>
      </c>
      <c r="D51" s="42">
        <f>-D40</f>
        <v>0</v>
      </c>
      <c r="E51" s="42">
        <f>-E40</f>
        <v>0</v>
      </c>
      <c r="F51" s="42">
        <f>-F40</f>
        <v>0</v>
      </c>
      <c r="G51" s="21" t="inlineStr"/>
    </row>
    <row r="52" ht="22" customHeight="1">
      <c r="A52" s="36" t="inlineStr">
        <is>
          <t>Movement in working capital</t>
        </is>
      </c>
      <c r="B52" s="42">
        <f>-B26*$B$19</f>
        <v>-37551.6</v>
      </c>
      <c r="C52" s="42">
        <f>-(C26-B26)*$B$19</f>
        <v>-95602.68000000001</v>
      </c>
      <c r="D52" s="42">
        <f>-(D26-C26)*$B$19</f>
        <v>-69303.63240000003</v>
      </c>
      <c r="E52" s="42">
        <f>-(E26-D26)*$B$19</f>
        <v>-66615.18407999999</v>
      </c>
      <c r="F52" s="42">
        <f>-(F26-E26)*$B$19</f>
        <v>-56572.61853492004</v>
      </c>
      <c r="G52" s="21" t="inlineStr">
        <is>
          <t>Guest and OTA settlement timing. Cash tied up grows as revenue grows.</t>
        </is>
      </c>
    </row>
    <row r="53" ht="20" customHeight="1">
      <c r="A53" s="55" t="inlineStr">
        <is>
          <t>FREE CASH FLOW</t>
        </is>
      </c>
      <c r="B53" s="56">
        <f>B49+B50+B51+B52</f>
        <v>-121416.0145000001</v>
      </c>
      <c r="C53" s="56">
        <f>C49+C50+C51+C52</f>
        <v>590622.9948963659</v>
      </c>
      <c r="D53" s="56">
        <f>D49+D50+D51+D52</f>
        <v>1092630.40979131</v>
      </c>
      <c r="E53" s="56">
        <f>E49+E50+E51+E52</f>
        <v>1592640.749512056</v>
      </c>
      <c r="F53" s="56">
        <f>F49+F50+F51+F52</f>
        <v>2011592.3790750091</v>
      </c>
      <c r="G53" s="32" t="inlineStr"/>
    </row>
    <row r="54" ht="20" customHeight="1">
      <c r="A54" s="53" t="inlineStr">
        <is>
          <t>Cumulative free cash flow</t>
        </is>
      </c>
      <c r="B54" s="54">
        <f>B53</f>
        <v>-121416.0145000001</v>
      </c>
      <c r="C54" s="54">
        <f>B54+C53</f>
        <v>469206.9803963658</v>
      </c>
      <c r="D54" s="54">
        <f>C54+D53</f>
        <v>1561837.3901876758</v>
      </c>
      <c r="E54" s="54">
        <f>D54+E53</f>
        <v>3154478.139699732</v>
      </c>
      <c r="F54" s="54">
        <f>E54+F53</f>
        <v>5166070.518774741</v>
      </c>
      <c r="G54" s="21" t="inlineStr"/>
    </row>
    <row r="55" ht="22" customHeight="1">
      <c r="A55" s="53" t="inlineStr">
        <is>
          <t>Closing cash balance (capital + cumulative FCF)</t>
        </is>
      </c>
      <c r="B55" s="60">
        <f>'Funding Summary'!C29+B54</f>
        <v>78583.9854999999</v>
      </c>
      <c r="C55" s="60">
        <f>'Funding Summary'!C29+C54</f>
        <v>669206.9803963657</v>
      </c>
      <c r="D55" s="60">
        <f>'Funding Summary'!C29+D54</f>
        <v>1761837.3901876758</v>
      </c>
      <c r="E55" s="60">
        <f>'Funding Summary'!C29+E54</f>
        <v>3354478.139699732</v>
      </c>
      <c r="F55" s="60">
        <f>'Funding Summary'!C29+F54</f>
        <v>5366070.518774741</v>
      </c>
      <c r="G55" s="21" t="inlineStr">
        <is>
          <t>If this goes negative in any year the plan is not fundable from AED 200,000 as it stands.</t>
        </is>
      </c>
    </row>
    <row r="56" ht="18" customHeight="1">
      <c r="A56" s="4" t="inlineStr">
        <is>
          <t>4.  RETURNS &amp; VALUATION</t>
        </is>
      </c>
      <c r="B56" s="5" t="n"/>
      <c r="C56" s="5" t="n"/>
      <c r="D56" s="5" t="n"/>
      <c r="E56" s="5" t="n"/>
      <c r="F56" s="5" t="n"/>
      <c r="G56" s="5" t="n"/>
    </row>
    <row r="57">
      <c r="A57" s="34" t="inlineStr">
        <is>
          <t>Measure</t>
        </is>
      </c>
      <c r="B57" s="35" t="inlineStr">
        <is>
          <t>Value</t>
        </is>
      </c>
      <c r="C57" s="43" t="n"/>
      <c r="D57" s="43" t="n"/>
      <c r="E57" s="43" t="n"/>
      <c r="F57" s="43" t="n"/>
      <c r="G57" s="35" t="inlineStr">
        <is>
          <t>Basis / note</t>
        </is>
      </c>
    </row>
    <row r="58" ht="20" customHeight="1">
      <c r="A58" s="53" t="inlineStr">
        <is>
          <t>Exit / terminal value at end of Year 5</t>
        </is>
      </c>
      <c r="B58" s="54">
        <f>F38*B21</f>
        <v>8942483.50597771</v>
      </c>
      <c r="C58" s="17" t="n"/>
      <c r="D58" s="17" t="n"/>
      <c r="E58" s="17" t="n"/>
      <c r="F58" s="17" t="n"/>
      <c r="G58" s="21" t="inlineStr">
        <is>
          <t>Year-5 EBITDA multiplied by the exit multiple above.</t>
        </is>
      </c>
    </row>
    <row r="59">
      <c r="A59" s="52" t="inlineStr">
        <is>
          <t>Investor cash flow</t>
        </is>
      </c>
    </row>
    <row r="60">
      <c r="A60" s="34" t="inlineStr">
        <is>
          <t>Year</t>
        </is>
      </c>
      <c r="B60" s="35" t="inlineStr">
        <is>
          <t>Year 0</t>
        </is>
      </c>
      <c r="C60" s="35" t="inlineStr">
        <is>
          <t>Year 1</t>
        </is>
      </c>
      <c r="D60" s="35" t="inlineStr">
        <is>
          <t>Year 2</t>
        </is>
      </c>
      <c r="E60" s="35" t="inlineStr">
        <is>
          <t>Year 3</t>
        </is>
      </c>
      <c r="F60" s="35" t="inlineStr">
        <is>
          <t>Year 4</t>
        </is>
      </c>
      <c r="G60" s="35" t="inlineStr">
        <is>
          <t>Year 5</t>
        </is>
      </c>
    </row>
    <row r="61">
      <c r="A61" s="61" t="inlineStr">
        <is>
          <t>Net cash flow to shareholders</t>
        </is>
      </c>
      <c r="B61" s="31">
        <f>-B22</f>
        <v>-200000</v>
      </c>
      <c r="C61" s="31">
        <f>B53</f>
        <v>-121416.0145000001</v>
      </c>
      <c r="D61" s="31">
        <f>C53</f>
        <v>590622.9948963659</v>
      </c>
      <c r="E61" s="31">
        <f>D53</f>
        <v>1092630.40979131</v>
      </c>
      <c r="F61" s="31">
        <f>E53</f>
        <v>1592640.749512056</v>
      </c>
      <c r="G61" s="31">
        <f>F53+B58</f>
        <v>10954075.88505272</v>
      </c>
      <c r="H61" s="30" t="n"/>
      <c r="I61" s="62" t="inlineStr">
        <is>
          <t>Year 0 is the capital injection. Year 5 includes the exit proceeds.</t>
        </is>
      </c>
    </row>
    <row r="63" ht="33" customHeight="1">
      <c r="A63" s="53" t="inlineStr">
        <is>
          <t>IRR — internal rate of return</t>
        </is>
      </c>
      <c r="B63" s="63">
        <f>IRR(B61:G61)</f>
        <v>1.6927248538353608</v>
      </c>
      <c r="C63" s="17" t="n"/>
      <c r="D63" s="17" t="n"/>
      <c r="E63" s="17" t="n"/>
      <c r="F63" s="17" t="n"/>
      <c r="G63" s="21" t="inlineStr">
        <is>
          <t>The annualised return to shareholders across the 5 years including the exit. Compare against the discount rate above — anything meaningfully higher creates value.</t>
        </is>
      </c>
    </row>
    <row r="64" ht="20" customHeight="1">
      <c r="A64" s="53" t="inlineStr">
        <is>
          <t>NPV at the discount rate</t>
        </is>
      </c>
      <c r="B64" s="54">
        <f>NPV(B20,C61:G61)+B61</f>
        <v>5911537.4477882255</v>
      </c>
      <c r="C64" s="17" t="n"/>
      <c r="D64" s="17" t="n"/>
      <c r="E64" s="17" t="n"/>
      <c r="F64" s="17" t="n"/>
      <c r="G64" s="21" t="inlineStr">
        <is>
          <t>Positive NPV means the plan beats the hurdle rate.</t>
        </is>
      </c>
    </row>
    <row r="65" ht="20" customHeight="1">
      <c r="A65" s="53" t="inlineStr">
        <is>
          <t>MOIC — money multiple</t>
        </is>
      </c>
      <c r="B65" s="64">
        <f>IF(B22=0,0,SUM(C61:G61)/B22)</f>
        <v>70.54277012376227</v>
      </c>
      <c r="C65" s="17" t="n"/>
      <c r="D65" s="17" t="n"/>
      <c r="E65" s="17" t="n"/>
      <c r="F65" s="17" t="n"/>
      <c r="G65" s="21" t="inlineStr">
        <is>
          <t>Total cash back divided by cash in.</t>
        </is>
      </c>
    </row>
    <row r="66" ht="22" customHeight="1">
      <c r="A66" s="36" t="inlineStr">
        <is>
          <t>Payback — first year cumulative cash flow turns positive</t>
        </is>
      </c>
      <c r="B66" s="65" t="str">
        <f>IF(F54&lt;0,"Beyond Year 5","Year "&amp;(COUNTIF(B54:F54,"&lt;0")+1))</f>
        <v>Year 2</v>
      </c>
      <c r="C66" s="17" t="n"/>
      <c r="D66" s="17" t="n"/>
      <c r="E66" s="17" t="n"/>
      <c r="F66" s="17" t="n"/>
      <c r="G66" s="21" t="inlineStr">
        <is>
          <t>How long before the business has returned the cash it consumed.</t>
        </is>
      </c>
    </row>
    <row r="67" ht="33" customHeight="1">
      <c r="A67" s="36" t="inlineStr">
        <is>
          <t>Revenue CAGR, Year 1 to Year 5</t>
        </is>
      </c>
      <c r="B67" s="40">
        <f>IF(B26&lt;=0,0,(F26/B26)^(1/4)-1)</f>
        <v>0.7160472057646223</v>
      </c>
      <c r="C67" s="17" t="n"/>
      <c r="D67" s="17" t="n"/>
      <c r="E67" s="17" t="n"/>
      <c r="F67" s="17" t="n"/>
      <c r="G67" s="21" t="inlineStr">
        <is>
          <t>Compound annual growth in management-fee revenue. Flattered by Year 1 being a part-year ramp from zero — the Year 2 to Year 5 rate below is the fairer measure.</t>
        </is>
      </c>
    </row>
    <row r="68" ht="22" customHeight="1">
      <c r="A68" s="36" t="inlineStr">
        <is>
          <t>Revenue CAGR, Year 2 to Year 5</t>
        </is>
      </c>
      <c r="B68" s="40">
        <f>IF(C26&lt;=0,0,(F26/C26)^(1/3)-1)</f>
        <v>0.3472972161991641</v>
      </c>
      <c r="C68" s="17" t="n"/>
      <c r="D68" s="17" t="n"/>
      <c r="E68" s="17" t="n"/>
      <c r="F68" s="17" t="n"/>
      <c r="G68" s="21" t="inlineStr">
        <is>
          <t>Growth once the business is trading normally. This is the number to defend.</t>
        </is>
      </c>
    </row>
    <row r="69" ht="20" customHeight="1">
      <c r="A69" s="36" t="inlineStr">
        <is>
          <t>EBITDA CAGR, Year 2 to Year 5</t>
        </is>
      </c>
      <c r="B69" s="40">
        <f>IF(C38&lt;=0,0,(F38/C38)^(1/3)-1)</f>
        <v>0.46363832147143325</v>
      </c>
      <c r="C69" s="17" t="n"/>
      <c r="D69" s="17" t="n"/>
      <c r="E69" s="17" t="n"/>
      <c r="F69" s="17" t="n"/>
      <c r="G69" s="21" t="inlineStr">
        <is>
          <t>Profit growth, stripping out the Year-1 ramp distortion.</t>
        </is>
      </c>
    </row>
    <row r="70" ht="33" customHeight="1">
      <c r="A70" s="36" t="inlineStr">
        <is>
          <t>Return on equity (Year 5)</t>
        </is>
      </c>
      <c r="B70" s="40">
        <f>IF((B22+SUM(B45:E45))=0,0,F45/(B22+SUM(B45:E45)))</f>
        <v>0.5707563831194427</v>
      </c>
      <c r="C70" s="17" t="n"/>
      <c r="D70" s="17" t="n"/>
      <c r="E70" s="17" t="n"/>
      <c r="F70" s="17" t="n"/>
      <c r="G70" s="21" t="inlineStr">
        <is>
          <t>Year-5 net profit against closing shareholders' equity (capital plus retained earnings). More meaningful than measuring against the original AED 200,000 alone.</t>
        </is>
      </c>
    </row>
    <row r="71" ht="18" customHeight="1">
      <c r="A71" s="4" t="inlineStr">
        <is>
          <t>5.  FINANCIAL HEALTH INDICATORS</t>
        </is>
      </c>
      <c r="B71" s="5" t="n"/>
      <c r="C71" s="5" t="n"/>
      <c r="D71" s="5" t="n"/>
      <c r="E71" s="5" t="n"/>
      <c r="F71" s="5" t="n"/>
      <c r="G71" s="5" t="n"/>
    </row>
    <row r="72">
      <c r="A72" s="34" t="inlineStr">
        <is>
          <t>Line item</t>
        </is>
      </c>
      <c r="B72" s="35" t="inlineStr">
        <is>
          <t>Year 1</t>
        </is>
      </c>
      <c r="C72" s="35" t="inlineStr">
        <is>
          <t>Year 2</t>
        </is>
      </c>
      <c r="D72" s="35" t="inlineStr">
        <is>
          <t>Year 3</t>
        </is>
      </c>
      <c r="E72" s="35" t="inlineStr">
        <is>
          <t>Year 4</t>
        </is>
      </c>
      <c r="F72" s="35" t="inlineStr">
        <is>
          <t>Year 5</t>
        </is>
      </c>
      <c r="G72" s="6" t="inlineStr">
        <is>
          <t>Basis / note</t>
        </is>
      </c>
    </row>
    <row r="73" ht="22" customHeight="1">
      <c r="A73" s="36" t="inlineStr">
        <is>
          <t>Revenue per live unit (annual)</t>
        </is>
      </c>
      <c r="B73" s="42">
        <f>IF(B7=0,0,B26/B7)</f>
        <v>24624</v>
      </c>
      <c r="C73" s="42">
        <f>IF(C7=0,0,C26/C7)</f>
        <v>25362.72</v>
      </c>
      <c r="D73" s="42">
        <f>IF(D7=0,0,D26/D7)</f>
        <v>26123.601600000005</v>
      </c>
      <c r="E73" s="42">
        <f>IF(E7=0,0,E26/E7)</f>
        <v>26907.309648000002</v>
      </c>
      <c r="F73" s="42">
        <f>IF(F7=0,0,F26/F7)</f>
        <v>27714.528937440005</v>
      </c>
      <c r="G73" s="21" t="inlineStr">
        <is>
          <t>Should be broadly stable. A fall means discounting or weakening occupancy.</t>
        </is>
      </c>
    </row>
    <row r="74" ht="22" customHeight="1">
      <c r="A74" s="36" t="inlineStr">
        <is>
          <t>Total cost per live unit (annual)</t>
        </is>
      </c>
      <c r="B74" s="42">
        <f>IF(B7=0,0,(B31+B37)/B7)</f>
        <v>23401.24637704918</v>
      </c>
      <c r="C74" s="42">
        <f>IF(C7=0,0,(C31+C37)/C7)</f>
        <v>18572.129493496956</v>
      </c>
      <c r="D74" s="42">
        <f>IF(D7=0,0,(D31+D37)/D7)</f>
        <v>18150.901917679475</v>
      </c>
      <c r="E74" s="42">
        <f>IF(E7=0,0,(E31+E37)/E7)</f>
        <v>17975.958364527167</v>
      </c>
      <c r="F74" s="42">
        <f>IF(F7=0,0,(F31+F37)/F7)</f>
        <v>18201.248611931805</v>
      </c>
      <c r="G74" s="21" t="inlineStr">
        <is>
          <t>Should FALL every year as fixed costs spread over more units. This is the whole scaling thesis.</t>
        </is>
      </c>
    </row>
    <row r="75" ht="20" customHeight="1">
      <c r="A75" s="36" t="inlineStr">
        <is>
          <t>EBITDA per live unit (annual)</t>
        </is>
      </c>
      <c r="B75" s="42">
        <f>IF(B7=0,0,B38/B7)</f>
        <v>1222.7536229508162</v>
      </c>
      <c r="C75" s="42">
        <f>IF(C7=0,0,C38/C7)</f>
        <v>6790.590506503045</v>
      </c>
      <c r="D75" s="42">
        <f>IF(D7=0,0,D38/D7)</f>
        <v>7972.699682320525</v>
      </c>
      <c r="E75" s="42">
        <f>IF(E7=0,0,E38/E7)</f>
        <v>8931.351283472835</v>
      </c>
      <c r="F75" s="42">
        <f>IF(F7=0,0,F38/F7)</f>
        <v>9513.280325508204</v>
      </c>
      <c r="G75" s="21" t="inlineStr"/>
    </row>
    <row r="76" ht="22" customHeight="1">
      <c r="A76" s="36" t="inlineStr">
        <is>
          <t>Contribution per unit (revenue less variable cost)</t>
        </is>
      </c>
      <c r="B76" s="42">
        <f>IF(B7=0,0,B32/B7)</f>
        <v>14221.599999999999</v>
      </c>
      <c r="C76" s="42">
        <f>IF(C7=0,0,C32/C7)</f>
        <v>14568.848</v>
      </c>
      <c r="D76" s="42">
        <f>IF(D7=0,0,D32/D7)</f>
        <v>14923.33744</v>
      </c>
      <c r="E76" s="42">
        <f>IF(E7=0,0,E32/E7)</f>
        <v>15285.1585232</v>
      </c>
      <c r="F76" s="42">
        <f>IF(F7=0,0,F32/F7)</f>
        <v>15654.399077296</v>
      </c>
      <c r="G76" s="21" t="inlineStr">
        <is>
          <t>What each additional unit contributes towards fixed costs and profit.</t>
        </is>
      </c>
    </row>
    <row r="77" ht="33" customHeight="1">
      <c r="A77" s="53" t="inlineStr">
        <is>
          <t>Break-even portfolio size (units)</t>
        </is>
      </c>
      <c r="B77" s="66">
        <f>IF(B76&lt;=0,0,B37/B76)</f>
        <v>27.877651916802616</v>
      </c>
      <c r="C77" s="66">
        <f>IF(C76&lt;=0,0,C37/C76)</f>
        <v>56.059136372153816</v>
      </c>
      <c r="D77" s="66">
        <f>IF(D76&lt;=0,0,D37/D76)</f>
        <v>72.19221952005385</v>
      </c>
      <c r="E77" s="66">
        <f>IF(E76&lt;=0,0,E37/E76)</f>
        <v>83.1369492188554</v>
      </c>
      <c r="F77" s="66">
        <f>IF(F76&lt;=0,0,F37/F76)</f>
        <v>92.18896870740896</v>
      </c>
      <c r="G77" s="21" t="inlineStr">
        <is>
          <t>Units needed just to cover fixed costs. Compare against the average live units in row above — the gap is your margin of safety.</t>
        </is>
      </c>
    </row>
    <row r="78" ht="20" customHeight="1">
      <c r="A78" s="53" t="inlineStr">
        <is>
          <t>Margin of safety (live units above break-even)</t>
        </is>
      </c>
      <c r="B78" s="66">
        <f>B7-B77</f>
        <v>2.6223480831973838</v>
      </c>
      <c r="C78" s="66">
        <f>C7-C77</f>
        <v>48.940863627846184</v>
      </c>
      <c r="D78" s="66">
        <f>D7-D77</f>
        <v>82.80778047994615</v>
      </c>
      <c r="E78" s="66">
        <f>E7-E77</f>
        <v>116.8630507811446</v>
      </c>
      <c r="F78" s="66">
        <f>F7-F77</f>
        <v>142.81103129259105</v>
      </c>
      <c r="G78" s="21" t="inlineStr"/>
    </row>
    <row r="79" ht="20" customHeight="1">
      <c r="A79" s="36" t="inlineStr">
        <is>
          <t>Fixed-cost coverage (gross profit / fixed costs)</t>
        </is>
      </c>
      <c r="B79" s="67">
        <f>IF(B37=0,0,B32/B37)</f>
        <v>1.0940663184626687</v>
      </c>
      <c r="C79" s="67">
        <f>IF(C37=0,0,C32/C37)</f>
        <v>1.8730220762401277</v>
      </c>
      <c r="D79" s="67">
        <f>IF(D37=0,0,D32/D37)</f>
        <v>2.147045776268777</v>
      </c>
      <c r="E79" s="67">
        <f>IF(E37=0,0,E32/E37)</f>
        <v>2.40566922264018</v>
      </c>
      <c r="F79" s="67">
        <f>IF(F37=0,0,F32/F37)</f>
        <v>2.549111930580841</v>
      </c>
      <c r="G79" s="21" t="inlineStr">
        <is>
          <t>Below 1.0x the business is loss-making at EBITDA level.</t>
        </is>
      </c>
    </row>
    <row r="80" ht="22" customHeight="1">
      <c r="A80" s="36" t="inlineStr">
        <is>
          <t>Cash runway at year-end (months of fixed cost)</t>
        </is>
      </c>
      <c r="B80" s="39">
        <f>IF(B37=0,0,B55/(B37/12))</f>
        <v>2.378541024351099</v>
      </c>
      <c r="C80" s="39">
        <f>IF(C37=0,0,C55/(C37/12))</f>
        <v>9.832638971328315</v>
      </c>
      <c r="D80" s="39">
        <f>IF(D37=0,0,D55/(D37/12))</f>
        <v>19.62414368787134</v>
      </c>
      <c r="E80" s="39">
        <f>IF(E37=0,0,E55/(E37/12))</f>
        <v>31.67686408922699</v>
      </c>
      <c r="F80" s="39">
        <f>IF(F37=0,0,F55/(F37/12))</f>
        <v>44.61924979340903</v>
      </c>
      <c r="G80" s="21" t="inlineStr">
        <is>
          <t>How many months the closing cash balance would cover fixed costs with no revenue at all.</t>
        </is>
      </c>
    </row>
    <row r="81" ht="18" customHeight="1">
      <c r="A81" s="4" t="inlineStr">
        <is>
          <t>6.  SENSITIVITY  —  what actually moves the IRR</t>
        </is>
      </c>
      <c r="B81" s="5" t="n"/>
      <c r="C81" s="5" t="n"/>
      <c r="D81" s="5" t="n"/>
      <c r="E81" s="5" t="n"/>
      <c r="F81" s="5" t="n"/>
      <c r="G81" s="5" t="n"/>
    </row>
    <row r="82">
      <c r="A82" s="34" t="inlineStr">
        <is>
          <t>Case</t>
        </is>
      </c>
      <c r="B82" s="35" t="inlineStr">
        <is>
          <t>IRR</t>
        </is>
      </c>
      <c r="C82" s="35" t="inlineStr">
        <is>
          <t>NPV</t>
        </is>
      </c>
      <c r="D82" s="43" t="n"/>
      <c r="E82" s="43" t="n"/>
      <c r="F82" s="43" t="n"/>
      <c r="G82" s="35" t="inlineStr">
        <is>
          <t>Comment</t>
        </is>
      </c>
    </row>
    <row r="83" ht="22" customHeight="1">
      <c r="A83" s="68" t="inlineStr">
        <is>
          <t>Exit at 3.0x EBITDA</t>
        </is>
      </c>
      <c r="B83" s="69">
        <f>IRR(I83:N83)</f>
        <v>1.6362816206911601</v>
      </c>
      <c r="C83" s="22">
        <f>NPV(B20,J83:N83)+I83</f>
        <v>5013091.557993332</v>
      </c>
      <c r="D83" s="17" t="n"/>
      <c r="E83" s="17" t="n"/>
      <c r="F83" s="17" t="n"/>
      <c r="G83" s="21" t="inlineStr">
        <is>
          <t>A weaker exit market. Note how much of the return depends on the sale, not the trading.</t>
        </is>
      </c>
      <c r="I83" s="70">
        <f>B61</f>
        <v>-200000</v>
      </c>
      <c r="J83" s="70">
        <f>C61</f>
        <v>-121416.0145000001</v>
      </c>
      <c r="K83" s="70">
        <f>D61</f>
        <v>590622.9948963659</v>
      </c>
      <c r="L83" s="70">
        <f>E61</f>
        <v>1092630.40979131</v>
      </c>
      <c r="M83" s="70">
        <f>F61</f>
        <v>1592640.749512056</v>
      </c>
      <c r="N83" s="70">
        <f>F53+F38*3.0</f>
        <v>8718455.008558292</v>
      </c>
    </row>
    <row r="84" ht="20" customHeight="1">
      <c r="A84" s="71" t="inlineStr">
        <is>
          <t>Exit at 4.0x EBITDA — base case</t>
        </is>
      </c>
      <c r="B84" s="72">
        <f>IRR(I84:N84)</f>
        <v>1.6927248538353608</v>
      </c>
      <c r="C84" s="73">
        <f>NPV(B20,J84:N84)+I84</f>
        <v>5911537.4477882255</v>
      </c>
      <c r="D84" s="74" t="n"/>
      <c r="E84" s="74" t="n"/>
      <c r="F84" s="74" t="n"/>
      <c r="G84" s="51" t="inlineStr"/>
      <c r="I84" s="70">
        <f>B61</f>
        <v>-200000</v>
      </c>
      <c r="J84" s="70">
        <f>C61</f>
        <v>-121416.0145000001</v>
      </c>
      <c r="K84" s="70">
        <f>D61</f>
        <v>590622.9948963659</v>
      </c>
      <c r="L84" s="70">
        <f>E61</f>
        <v>1092630.40979131</v>
      </c>
      <c r="M84" s="70">
        <f>F61</f>
        <v>1592640.749512056</v>
      </c>
      <c r="N84" s="70">
        <f>F53+F38*4.0</f>
        <v>10954075.88505272</v>
      </c>
    </row>
    <row r="85" ht="20" customHeight="1">
      <c r="A85" s="68" t="inlineStr">
        <is>
          <t>Exit at 5.0x EBITDA</t>
        </is>
      </c>
      <c r="B85" s="69">
        <f>IRR(I85:N85)</f>
        <v>1.7438389282711126</v>
      </c>
      <c r="C85" s="22">
        <f>NPV(B20,J85:N85)+I85</f>
        <v>6809983.337583119</v>
      </c>
      <c r="D85" s="17" t="n"/>
      <c r="E85" s="17" t="n"/>
      <c r="F85" s="17" t="n"/>
      <c r="G85" s="21" t="inlineStr">
        <is>
          <t>A strong strategic buyer.</t>
        </is>
      </c>
      <c r="I85" s="70">
        <f>B61</f>
        <v>-200000</v>
      </c>
      <c r="J85" s="70">
        <f>C61</f>
        <v>-121416.0145000001</v>
      </c>
      <c r="K85" s="70">
        <f>D61</f>
        <v>590622.9948963659</v>
      </c>
      <c r="L85" s="70">
        <f>E61</f>
        <v>1092630.40979131</v>
      </c>
      <c r="M85" s="70">
        <f>F61</f>
        <v>1592640.749512056</v>
      </c>
      <c r="N85" s="70">
        <f>F53+F38*5.0</f>
        <v>13189696.761547148</v>
      </c>
    </row>
    <row r="86" ht="22" customHeight="1">
      <c r="A86" s="68" t="inlineStr">
        <is>
          <t>No exit — operating cash only</t>
        </is>
      </c>
      <c r="B86" s="69">
        <f>IRR(I86:N86)</f>
        <v>1.4145764623539154</v>
      </c>
      <c r="C86" s="22">
        <f>NPV(B20,J86:N86)+I86</f>
        <v>2317753.888608653</v>
      </c>
      <c r="D86" s="17" t="n"/>
      <c r="E86" s="17" t="n"/>
      <c r="F86" s="17" t="n"/>
      <c r="G86" s="21" t="inlineStr">
        <is>
          <t>The honest floor: what shareholders earn if the business is never sold.</t>
        </is>
      </c>
      <c r="I86" s="70">
        <f>B61</f>
        <v>-200000</v>
      </c>
      <c r="J86" s="70">
        <f>C61</f>
        <v>-121416.0145000001</v>
      </c>
      <c r="K86" s="70">
        <f>D61</f>
        <v>590622.9948963659</v>
      </c>
      <c r="L86" s="70">
        <f>E61</f>
        <v>1092630.40979131</v>
      </c>
      <c r="M86" s="70">
        <f>F61</f>
        <v>1592640.749512056</v>
      </c>
      <c r="N86" s="70">
        <f>F53+F38*0.0</f>
        <v>2011592.3790750091</v>
      </c>
    </row>
    <row r="87" ht="20" customHeight="1">
      <c r="A87" s="71" t="inlineStr">
        <is>
          <t>Orizuru funds 0% of unit onboarding — base case</t>
        </is>
      </c>
      <c r="B87" s="72">
        <f>IRR(I87:N87)</f>
        <v>1.6927248538353608</v>
      </c>
      <c r="C87" s="73">
        <f>NPV(B20,J87:N87)+I87</f>
        <v>5911537.4477882255</v>
      </c>
      <c r="D87" s="74" t="n"/>
      <c r="E87" s="74" t="n"/>
      <c r="F87" s="74" t="n"/>
      <c r="G87" s="51" t="inlineStr">
        <is>
          <t>As instructed: onboarding re-charged to the owner.</t>
        </is>
      </c>
      <c r="I87" s="70">
        <f>B61</f>
        <v>-200000</v>
      </c>
      <c r="J87" s="70">
        <f>C61-(C6-B6)*'Unit Setup (1 Unit)'!E17*(0.0-$B$18)</f>
        <v>-121416.0145000001</v>
      </c>
      <c r="K87" s="70">
        <f>D61-(D6-C6)*'Unit Setup (1 Unit)'!E17*(0.0-$B$18)</f>
        <v>590622.9948963659</v>
      </c>
      <c r="L87" s="70">
        <f>E61-(E6-D6)*'Unit Setup (1 Unit)'!E17*(0.0-$B$18)</f>
        <v>1092630.40979131</v>
      </c>
      <c r="M87" s="70">
        <f>F61-(F6-E6)*'Unit Setup (1 Unit)'!E17*(0.0-$B$18)</f>
        <v>1592640.749512056</v>
      </c>
      <c r="N87" s="70">
        <f>G61-(F6-E6)*'Unit Setup (1 Unit)'!E17*(0.0-$B$18)</f>
        <v>10954075.88505272</v>
      </c>
    </row>
    <row r="88" ht="22" customHeight="1">
      <c r="A88" s="68" t="inlineStr">
        <is>
          <t>Orizuru funds 50% of unit onboarding</t>
        </is>
      </c>
      <c r="B88" s="69">
        <f>IRR(I88:N88)</f>
        <v>1.3205472039564063</v>
      </c>
      <c r="C88" s="22">
        <f>NPV(B20,J88:N88)+I88</f>
        <v>5334682.509516621</v>
      </c>
      <c r="D88" s="17" t="n"/>
      <c r="E88" s="17" t="n"/>
      <c r="F88" s="17" t="n"/>
      <c r="G88" s="21" t="inlineStr">
        <is>
          <t>A common commercial compromise where the operator shares setup cost to win the mandate.</t>
        </is>
      </c>
      <c r="I88" s="70">
        <f>B61</f>
        <v>-200000</v>
      </c>
      <c r="J88" s="70">
        <f>C61-(C6-B6)*'Unit Setup (1 Unit)'!E17*(0.5-$B$18)</f>
        <v>-350216.0145000001</v>
      </c>
      <c r="K88" s="70">
        <f>D61-(D6-C6)*'Unit Setup (1 Unit)'!E17*(0.5-$B$18)</f>
        <v>361822.9948963659</v>
      </c>
      <c r="L88" s="70">
        <f>E61-(E6-D6)*'Unit Setup (1 Unit)'!E17*(0.5-$B$18)</f>
        <v>909590.4097913101</v>
      </c>
      <c r="M88" s="70">
        <f>F61-(F6-E6)*'Unit Setup (1 Unit)'!E17*(0.5-$B$18)</f>
        <v>1455360.749512056</v>
      </c>
      <c r="N88" s="70">
        <f>G61-(F6-E6)*'Unit Setup (1 Unit)'!E17*(0.5-$B$18)</f>
        <v>10816795.88505272</v>
      </c>
    </row>
    <row r="89" ht="33" customHeight="1">
      <c r="A89" s="68" t="inlineStr">
        <is>
          <t>Orizuru funds 100% of unit onboarding</t>
        </is>
      </c>
      <c r="B89" s="69">
        <f>IRR(I89:N89)</f>
        <v>1.0535875555444978</v>
      </c>
      <c r="C89" s="22">
        <f>NPV(B20,J89:N89)+I89</f>
        <v>4757827.571245016</v>
      </c>
      <c r="D89" s="17" t="n"/>
      <c r="E89" s="17" t="n"/>
      <c r="F89" s="17" t="n"/>
      <c r="G89" s="21" t="inlineStr">
        <is>
          <t>Self-funding the whole rollout. This is the scenario that breaks the AED 200,000 capital — check the closing cash balance if you go this way.</t>
        </is>
      </c>
      <c r="I89" s="70">
        <f>B61</f>
        <v>-200000</v>
      </c>
      <c r="J89" s="70">
        <f>C61-(C6-B6)*'Unit Setup (1 Unit)'!E17*(1.0-$B$18)</f>
        <v>-579016.0145</v>
      </c>
      <c r="K89" s="70">
        <f>D61-(D6-C6)*'Unit Setup (1 Unit)'!E17*(1.0-$B$18)</f>
        <v>133022.9948963659</v>
      </c>
      <c r="L89" s="70">
        <f>E61-(E6-D6)*'Unit Setup (1 Unit)'!E17*(1.0-$B$18)</f>
        <v>726550.4097913101</v>
      </c>
      <c r="M89" s="70">
        <f>F61-(F6-E6)*'Unit Setup (1 Unit)'!E17*(1.0-$B$18)</f>
        <v>1318080.749512056</v>
      </c>
      <c r="N89" s="70">
        <f>G61-(F6-E6)*'Unit Setup (1 Unit)'!E17*(1.0-$B$18)</f>
        <v>10679515.88505272</v>
      </c>
    </row>
    <row r="91" ht="18" customHeight="1">
      <c r="A91" s="4" t="inlineStr">
        <is>
          <t>7.  HOW TO READ THIS</t>
        </is>
      </c>
      <c r="B91" s="5" t="n"/>
      <c r="C91" s="5" t="n"/>
      <c r="D91" s="5" t="n"/>
      <c r="E91" s="5" t="n"/>
      <c r="F91" s="5" t="n"/>
      <c r="G91" s="5" t="n"/>
    </row>
    <row r="92" ht="47" customHeight="1">
      <c r="A92" s="33" t="inlineStr">
        <is>
          <t>•  YEAR 1 TIES EXACTLY TO THE MONTHLY MODEL. Revenue, staff, unit operations and commission all link straight to 'OPEX Monthly', and the residual fixed-cost line is derived so total Year-1 cost equals the monthly model to the dirham. Change anything on 'Assumptions' and Year 1 here moves with it.</t>
        </is>
      </c>
    </row>
    <row r="93" ht="34" customHeight="1">
      <c r="A93" s="33" t="inlineStr">
        <is>
          <t>•  YEARS 2–5 ARE A PLAN, NOT A FORECAST. They rest on the unit counts, inflation rates and headcount in section 1. Those are the numbers to argue about — everything below them is arithmetic.</t>
        </is>
      </c>
    </row>
    <row r="94" ht="47" customHeight="1">
      <c r="A94" s="33" t="inlineStr">
        <is>
          <t>•  THE IRR IS FLATTERED BY A SMALL CAPITAL BASE. Returns are measured against AED 200,000 of equity. A business that needs little capital and generates modest absolute profit will always show a high percentage return. Look at absolute EBITDA and the money multiple alongside the IRR, not the IRR alone.</t>
        </is>
      </c>
    </row>
    <row r="95" ht="34" customHeight="1">
      <c r="A95" s="33" t="inlineStr">
        <is>
          <t>•  MUCH OF THE RETURN SITS IN THE EXIT. Compare the base case against the 'no exit' row in section 6. If the gap is large, the plan depends on selling the business, not on operating it — which a lender will read very differently from an equity investor.</t>
        </is>
      </c>
    </row>
    <row r="96" ht="34" customHeight="1">
      <c r="A96" s="33" t="inlineStr">
        <is>
          <t>•  UNIT ONBOARDING IS THE HIDDEN CAPITAL RISK. This tab assumes owners fund unit setup, per instruction. If Orizuru ends up funding it to win mandates, the cash requirement rises sharply — section 6 quantifies it. Settle this in the management agreement before signing owners.</t>
        </is>
      </c>
    </row>
    <row r="97" ht="34" customHeight="1">
      <c r="A97" s="33" t="inlineStr">
        <is>
          <t>•  RE-CHARGEABLE COSTS ARE THE BIGGEST SINGLE LEVER. Housekeeping, DET permit renewals and consumables are all commonly billed to owners or guests. They sit in variable costs here. Re-charging them materially lifts EBITDA at no commercial cost — it is standard Dubai practice.</t>
        </is>
      </c>
    </row>
    <row r="98" ht="34" customHeight="1">
      <c r="A98" s="33" t="inlineStr">
        <is>
          <t>•  CORPORATE TAX BITES FROM THE YEAR PROFIT EXCEEDS AED 375,000. Below that the 9% rate does not apply. Watch the year the tax line first appears — that is when net profit starts diverging from EBITDA.</t>
        </is>
      </c>
    </row>
  </sheetData>
  <mergeCells count="17">
    <mergeCell ref="A93:G93"/>
    <mergeCell ref="A1:G1"/>
    <mergeCell ref="A94:G94"/>
    <mergeCell ref="A56:G56"/>
    <mergeCell ref="A97:G97"/>
    <mergeCell ref="A91:G91"/>
    <mergeCell ref="A4:G4"/>
    <mergeCell ref="A92:G92"/>
    <mergeCell ref="A95:G95"/>
    <mergeCell ref="A2:G2"/>
    <mergeCell ref="A96:G96"/>
    <mergeCell ref="A15:G15"/>
    <mergeCell ref="A98:G98"/>
    <mergeCell ref="A81:G81"/>
    <mergeCell ref="A71:G71"/>
    <mergeCell ref="A47:G47"/>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5"/>
  <sheetViews>
    <sheetView showGridLines="0" workbookViewId="0">
      <pane ySplit="9" topLeftCell="A10" activePane="bottomLeft" state="frozen"/>
      <selection pane="bottomLeft" activeCell="A1" sqref="A1"/>
    </sheetView>
  </sheetViews>
  <sheetFormatPr baseColWidth="8" defaultRowHeight="15"/>
  <cols>
    <col width="52" customWidth="1" min="1" max="1"/>
    <col width="18" customWidth="1" min="2" max="2"/>
    <col width="12" customWidth="1" min="3" max="3"/>
    <col width="12" customWidth="1" min="4" max="4"/>
    <col width="12" customWidth="1" min="5" max="5"/>
    <col width="14" customWidth="1" min="6" max="6"/>
    <col width="78" customWidth="1" min="7" max="7"/>
  </cols>
  <sheetData>
    <row r="1" ht="26" customHeight="1">
      <c r="A1" s="1" t="inlineStr">
        <is>
          <t>OPEX ASSUMPTIONS — ORIZURU HOLIDAY HOMES LLC</t>
        </is>
      </c>
      <c r="B1" s="2" t="n"/>
      <c r="C1" s="2" t="n"/>
      <c r="D1" s="2" t="n"/>
      <c r="E1" s="2" t="n"/>
      <c r="F1" s="2" t="n"/>
      <c r="G1" s="2" t="n"/>
    </row>
    <row r="2" ht="16" customHeight="1">
      <c r="A2" s="3" t="inlineStr">
        <is>
          <t>All figures AED unless stated. Blue = editable input. Yellow = figure supplied by management or a key lever.</t>
        </is>
      </c>
      <c r="B2" s="2" t="n"/>
      <c r="C2" s="2" t="n"/>
      <c r="D2" s="2" t="n"/>
      <c r="E2" s="2" t="n"/>
      <c r="F2" s="2" t="n"/>
      <c r="G2" s="2" t="n"/>
    </row>
    <row r="4">
      <c r="A4" s="75" t="inlineStr">
        <is>
          <t>SCENARIO</t>
        </is>
      </c>
      <c r="B4" s="76" t="inlineStr">
        <is>
          <t>Base</t>
        </is>
      </c>
      <c r="C4" s="62" t="inlineStr">
        <is>
          <t>Change this cell to Low / Base / High. Every 'Active' figure below and the whole monthly model follow it.</t>
        </is>
      </c>
      <c r="J4" s="77" t="inlineStr">
        <is>
          <t>Low</t>
        </is>
      </c>
    </row>
    <row r="5">
      <c r="A5" s="62" t="inlineStr">
        <is>
          <t>Scenario index</t>
        </is>
      </c>
      <c r="B5" s="78">
        <f>MATCH($B$4,$J$4:$J$6,0)</f>
        <v>2</v>
      </c>
      <c r="J5" s="77" t="inlineStr">
        <is>
          <t>Base</t>
        </is>
      </c>
    </row>
    <row r="6">
      <c r="A6" s="75" t="inlineStr">
        <is>
          <t>Option adopted from Month 3</t>
        </is>
      </c>
      <c r="B6" s="76" t="inlineStr">
        <is>
          <t>Option 2</t>
        </is>
      </c>
      <c r="C6" s="62" t="inlineStr">
        <is>
          <t>Both options run in Months 1–2 per management. From Month 3 the model keeps whichever you select here. Select 'Both' to keep running them in parallel all year.</t>
        </is>
      </c>
      <c r="J6" s="77" t="inlineStr">
        <is>
          <t>High</t>
        </is>
      </c>
    </row>
    <row r="7">
      <c r="A7" s="79" t="inlineStr">
        <is>
          <t>Parallel-run months</t>
        </is>
      </c>
      <c r="B7" s="80" t="n">
        <v>2</v>
      </c>
      <c r="C7" s="62" t="inlineStr">
        <is>
          <t>Per management: run both marketing options together for the first 2 months to see which works.</t>
        </is>
      </c>
    </row>
    <row r="9" ht="24" customHeight="1">
      <c r="A9" s="13" t="inlineStr">
        <is>
          <t>Assumption</t>
        </is>
      </c>
      <c r="B9" s="13" t="inlineStr">
        <is>
          <t>Unit</t>
        </is>
      </c>
      <c r="C9" s="13" t="inlineStr">
        <is>
          <t>Low</t>
        </is>
      </c>
      <c r="D9" s="13" t="inlineStr">
        <is>
          <t>Base</t>
        </is>
      </c>
      <c r="E9" s="13" t="inlineStr">
        <is>
          <t>High</t>
        </is>
      </c>
      <c r="F9" s="13" t="inlineStr">
        <is>
          <t>Active</t>
        </is>
      </c>
      <c r="G9" s="13" t="inlineStr">
        <is>
          <t>Source / note</t>
        </is>
      </c>
    </row>
    <row r="10" ht="18" customHeight="1">
      <c r="A10" s="4" t="inlineStr">
        <is>
          <t>1.  REVENUE DRIVERS  —  needed to size the 2% commission, gateway fees and cost-to-revenue ratios</t>
        </is>
      </c>
      <c r="B10" s="5" t="n"/>
      <c r="C10" s="5" t="n"/>
      <c r="D10" s="5" t="n"/>
      <c r="E10" s="5" t="n"/>
      <c r="F10" s="5" t="n"/>
      <c r="G10" s="5" t="n"/>
    </row>
    <row r="11" ht="22" customHeight="1">
      <c r="A11" s="81" t="inlineStr">
        <is>
          <t>Average Daily Rate (ADR) per unit</t>
        </is>
      </c>
      <c r="B11" s="82" t="inlineStr">
        <is>
          <t>AED/night</t>
        </is>
      </c>
      <c r="C11" s="83" t="n">
        <v>380</v>
      </c>
      <c r="D11" s="83" t="n">
        <v>450</v>
      </c>
      <c r="E11" s="83" t="n">
        <v>550</v>
      </c>
      <c r="F11" s="84">
        <f>INDEX(C11:E11,1,Assumptions!$B$5)</f>
        <v>450</v>
      </c>
      <c r="G11" s="21" t="inlineStr">
        <is>
          <t>Premium 1BR short-term rental, Dubai. Drives the revenue base for the 2% marketing commission.</t>
        </is>
      </c>
    </row>
    <row r="12" ht="22" customHeight="1">
      <c r="A12" s="81" t="inlineStr">
        <is>
          <t>Occupancy rate</t>
        </is>
      </c>
      <c r="B12" s="82" t="inlineStr">
        <is>
          <t>%</t>
        </is>
      </c>
      <c r="C12" s="85" t="n">
        <v>0.65</v>
      </c>
      <c r="D12" s="85" t="n">
        <v>0.75</v>
      </c>
      <c r="E12" s="85" t="n">
        <v>0.82</v>
      </c>
      <c r="F12" s="72">
        <f>INDEX(C12:E12,1,Assumptions!$B$5)</f>
        <v>0.75</v>
      </c>
      <c r="G12" s="21" t="inlineStr">
        <is>
          <t>Dubai holiday-home market runs high; 75% is a realistic stabilised assumption.</t>
        </is>
      </c>
    </row>
    <row r="13" ht="22" customHeight="1">
      <c r="A13" s="81" t="inlineStr">
        <is>
          <t>Nights per month</t>
        </is>
      </c>
      <c r="B13" s="82" t="inlineStr">
        <is>
          <t>nights</t>
        </is>
      </c>
      <c r="C13" s="86" t="n">
        <v>30.4</v>
      </c>
      <c r="D13" s="86" t="n">
        <v>30.4</v>
      </c>
      <c r="E13" s="86" t="n">
        <v>30.4</v>
      </c>
      <c r="F13" s="87">
        <f>INDEX(C13:E13,1,Assumptions!$B$5)</f>
        <v>30.4</v>
      </c>
      <c r="G13" s="21" t="inlineStr">
        <is>
          <t>365 / 12.</t>
        </is>
      </c>
    </row>
    <row r="14" ht="22" customHeight="1">
      <c r="A14" s="81" t="inlineStr">
        <is>
          <t>Gross booking revenue per unit per month</t>
        </is>
      </c>
      <c r="B14" s="82" t="inlineStr">
        <is>
          <t>AED</t>
        </is>
      </c>
      <c r="C14" s="22">
        <f>C11*C12*C13</f>
        <v>7508.799999999999</v>
      </c>
      <c r="D14" s="22">
        <f>D11*D12*D13</f>
        <v>10260</v>
      </c>
      <c r="E14" s="22">
        <f>E11*E12*E13</f>
        <v>13710.4</v>
      </c>
      <c r="F14" s="84">
        <f>INDEX(C14:E14,1,Assumptions!$B$5)</f>
        <v>10260</v>
      </c>
      <c r="G14" s="21" t="inlineStr">
        <is>
          <t>Calculated. This is the GUEST's spend on that unit — not Orizuru's revenue.</t>
        </is>
      </c>
    </row>
    <row r="15" ht="22" customHeight="1">
      <c r="A15" s="81" t="inlineStr">
        <is>
          <t>Management fee retained by Orizuru</t>
        </is>
      </c>
      <c r="B15" s="82" t="inlineStr">
        <is>
          <t>% of gross</t>
        </is>
      </c>
      <c r="C15" s="85" t="n">
        <v>0.15</v>
      </c>
      <c r="D15" s="85" t="n">
        <v>0.2</v>
      </c>
      <c r="E15" s="85" t="n">
        <v>0.25</v>
      </c>
      <c r="F15" s="72">
        <f>INDEX(C15:E15,1,Assumptions!$B$5)</f>
        <v>0.2</v>
      </c>
      <c r="G15" s="21" t="inlineStr">
        <is>
          <t>Dubai holiday-home management contracts run 15–25%. This IS Orizuru's revenue under the commission-only model.</t>
        </is>
      </c>
    </row>
    <row r="16" ht="22" customHeight="1">
      <c r="A16" s="81" t="inlineStr">
        <is>
          <t>Orizuru revenue per unit per month</t>
        </is>
      </c>
      <c r="B16" s="82" t="inlineStr">
        <is>
          <t>AED</t>
        </is>
      </c>
      <c r="C16" s="22">
        <f>C14*C15</f>
        <v>1126.32</v>
      </c>
      <c r="D16" s="22">
        <f>D14*D15</f>
        <v>2052</v>
      </c>
      <c r="E16" s="22">
        <f>E14*E15</f>
        <v>3427.6</v>
      </c>
      <c r="F16" s="84">
        <f>INDEX(C16:E16,1,Assumptions!$B$5)</f>
        <v>2052</v>
      </c>
      <c r="G16" s="21" t="inlineStr">
        <is>
          <t>Calculated. Compare against the Business Profile's AED 2.5–4.5M turnover target — see the reconciliation note on the README tab.</t>
        </is>
      </c>
    </row>
    <row r="17" ht="18" customHeight="1">
      <c r="A17" s="4" t="inlineStr">
        <is>
          <t>2.  STAFF  —  Dubai payroll</t>
        </is>
      </c>
      <c r="B17" s="5" t="n"/>
      <c r="C17" s="5" t="n"/>
      <c r="D17" s="5" t="n"/>
      <c r="E17" s="5" t="n"/>
      <c r="F17" s="5" t="n"/>
      <c r="G17" s="5" t="n"/>
    </row>
    <row r="18" ht="33" customHeight="1">
      <c r="A18" s="81" t="inlineStr">
        <is>
          <t>Directors' salary</t>
        </is>
      </c>
      <c r="B18" s="82" t="inlineStr">
        <is>
          <t>AED/month</t>
        </is>
      </c>
      <c r="C18" s="28" t="n">
        <v>0</v>
      </c>
      <c r="D18" s="28" t="n">
        <v>0</v>
      </c>
      <c r="E18" s="28" t="n">
        <v>0</v>
      </c>
      <c r="F18" s="84">
        <f>INDEX(C18:E18,1,Assumptions!$B$5)</f>
        <v>0</v>
      </c>
      <c r="G18" s="21" t="inlineStr">
        <is>
          <t>Per management: directors will NOT draw a salary. Note for the bank — this understates the true cost of running the business, since two directors are working unpaid.</t>
        </is>
      </c>
    </row>
    <row r="19" ht="22" customHeight="1">
      <c r="A19" s="81" t="inlineStr">
        <is>
          <t>Operations &amp; service staff — minimum headcount</t>
        </is>
      </c>
      <c r="B19" s="82" t="inlineStr">
        <is>
          <t>persons</t>
        </is>
      </c>
      <c r="C19" s="37" t="n">
        <v>1</v>
      </c>
      <c r="D19" s="37" t="n">
        <v>1</v>
      </c>
      <c r="E19" s="37" t="n">
        <v>1</v>
      </c>
      <c r="F19" s="88">
        <f>INDEX(C19:E19,1,Assumptions!$B$5)</f>
        <v>1</v>
      </c>
      <c r="G19" s="21" t="inlineStr">
        <is>
          <t>Per management: the business starts with 1 person. Actual headcount rises with the portfolio — see the ratio below.</t>
        </is>
      </c>
    </row>
    <row r="20" ht="55" customHeight="1">
      <c r="A20" s="81" t="inlineStr">
        <is>
          <t>Live units per operations staff member</t>
        </is>
      </c>
      <c r="B20" s="82" t="inlineStr">
        <is>
          <t>units/person</t>
        </is>
      </c>
      <c r="C20" s="89" t="n">
        <v>45</v>
      </c>
      <c r="D20" s="89" t="n">
        <v>35</v>
      </c>
      <c r="E20" s="89" t="n">
        <v>25</v>
      </c>
      <c r="F20" s="88">
        <f>INDEX(C20:E20,1,Assumptions!$B$5)</f>
        <v>35</v>
      </c>
      <c r="G20" s="21" t="inlineStr">
        <is>
          <t>The staffing ratio. One person cannot run 80 units alone: check-ins, guest support, housekeeping coordination, maintenance and owner reporting across a portfolio spread over Dubai. 35 units per person is realistic with housekeeping outsourced. A LOWER number means MORE staff and higher cost — which is why the High-cost scenario uses 25.</t>
        </is>
      </c>
    </row>
    <row r="21" ht="22" customHeight="1">
      <c r="A21" s="81" t="inlineStr">
        <is>
          <t>Operations &amp; service staff — salary</t>
        </is>
      </c>
      <c r="B21" s="82" t="inlineStr">
        <is>
          <t>AED/month</t>
        </is>
      </c>
      <c r="C21" s="28" t="n">
        <v>3000</v>
      </c>
      <c r="D21" s="28" t="n">
        <v>3000</v>
      </c>
      <c r="E21" s="28" t="n">
        <v>3000</v>
      </c>
      <c r="F21" s="84">
        <f>INDEX(C21:E21,1,Assumptions!$B$5)</f>
        <v>3000</v>
      </c>
      <c r="G21" s="21" t="inlineStr">
        <is>
          <t>Per management: AED 3,000/month.</t>
        </is>
      </c>
    </row>
    <row r="22" ht="22" customHeight="1">
      <c r="A22" s="81" t="inlineStr">
        <is>
          <t>Staff visa, medical insurance &amp; EID — monthly accrual per UAE employee</t>
        </is>
      </c>
      <c r="B22" s="82" t="inlineStr">
        <is>
          <t>AED/month</t>
        </is>
      </c>
      <c r="C22" s="83" t="n">
        <v>250</v>
      </c>
      <c r="D22" s="83" t="n">
        <v>380</v>
      </c>
      <c r="E22" s="83" t="n">
        <v>550</v>
      </c>
      <c r="F22" s="84">
        <f>INDEX(C22:E22,1,Assumptions!$B$5)</f>
        <v>380</v>
      </c>
      <c r="G22" s="21" t="inlineStr">
        <is>
          <t>2-year residence visa and mandatory Dubai health insurance spread monthly. Real cash cost even though it is billed in lumps.</t>
        </is>
      </c>
    </row>
    <row r="23" ht="22" customHeight="1">
      <c r="A23" s="81" t="inlineStr">
        <is>
          <t>End-of-service gratuity accrual</t>
        </is>
      </c>
      <c r="B23" s="82" t="inlineStr">
        <is>
          <t>% of salary</t>
        </is>
      </c>
      <c r="C23" s="90" t="n">
        <v>0.058</v>
      </c>
      <c r="D23" s="90" t="n">
        <v>0.058</v>
      </c>
      <c r="E23" s="90" t="n">
        <v>0.058</v>
      </c>
      <c r="F23" s="91">
        <f>INDEX(C23:E23,1,Assumptions!$B$5)</f>
        <v>0.058</v>
      </c>
      <c r="G23" s="21" t="inlineStr">
        <is>
          <t>UAE Labour Law: 21 days' basic pay per year of service for the first 5 years = 5.8% of salary. Legally payable — accrue it or it becomes a nasty surprise.</t>
        </is>
      </c>
    </row>
    <row r="24" ht="22" customHeight="1">
      <c r="A24" s="81" t="inlineStr">
        <is>
          <t>WPS / payroll processing fee</t>
        </is>
      </c>
      <c r="B24" s="82" t="inlineStr">
        <is>
          <t>AED/employee/mo</t>
        </is>
      </c>
      <c r="C24" s="83" t="n">
        <v>8</v>
      </c>
      <c r="D24" s="83" t="n">
        <v>15</v>
      </c>
      <c r="E24" s="83" t="n">
        <v>25</v>
      </c>
      <c r="F24" s="84">
        <f>INDEX(C24:E24,1,Assumptions!$B$5)</f>
        <v>15</v>
      </c>
      <c r="G24" s="21" t="inlineStr">
        <is>
          <t>Wage Protection System is mandatory for MOHRE-sponsored staff.</t>
        </is>
      </c>
    </row>
    <row r="25" ht="18" customHeight="1">
      <c r="A25" s="4" t="inlineStr">
        <is>
          <t>3.  MARKETING OPTION 1  —  FULLY ONLINE  (4 hrs/day)</t>
        </is>
      </c>
      <c r="B25" s="5" t="n"/>
      <c r="C25" s="5" t="n"/>
      <c r="D25" s="5" t="n"/>
      <c r="E25" s="5" t="n"/>
      <c r="F25" s="5" t="n"/>
      <c r="G25" s="5" t="n"/>
    </row>
    <row r="26" ht="22" customHeight="1">
      <c r="A26" s="81" t="inlineStr">
        <is>
          <t>Team size</t>
        </is>
      </c>
      <c r="B26" s="82" t="inlineStr">
        <is>
          <t>persons</t>
        </is>
      </c>
      <c r="C26" s="37" t="n">
        <v>2</v>
      </c>
      <c r="D26" s="37" t="n">
        <v>3</v>
      </c>
      <c r="E26" s="37" t="n">
        <v>4</v>
      </c>
      <c r="F26" s="88">
        <f>INDEX(C26:E26,1,Assumptions!$B$5)</f>
        <v>3</v>
      </c>
      <c r="G26" s="21" t="inlineStr">
        <is>
          <t>Per management: 2–4 persons.</t>
        </is>
      </c>
    </row>
    <row r="27" ht="22" customHeight="1">
      <c r="A27" s="81" t="inlineStr">
        <is>
          <t>Cost per person</t>
        </is>
      </c>
      <c r="B27" s="82" t="inlineStr">
        <is>
          <t>AED/month</t>
        </is>
      </c>
      <c r="C27" s="28" t="n">
        <v>500</v>
      </c>
      <c r="D27" s="28" t="n">
        <v>600</v>
      </c>
      <c r="E27" s="28" t="n">
        <v>700</v>
      </c>
      <c r="F27" s="84">
        <f>INDEX(C27:E27,1,Assumptions!$B$5)</f>
        <v>600</v>
      </c>
      <c r="G27" s="21" t="inlineStr">
        <is>
          <t>Per management: AED 500–700 per person.</t>
        </is>
      </c>
    </row>
    <row r="28" ht="22" customHeight="1">
      <c r="A28" s="81" t="inlineStr">
        <is>
          <t>Digital ads &amp; owner lead generation</t>
        </is>
      </c>
      <c r="B28" s="82" t="inlineStr">
        <is>
          <t>AED/month</t>
        </is>
      </c>
      <c r="C28" s="83" t="n">
        <v>800</v>
      </c>
      <c r="D28" s="83" t="n">
        <v>1500</v>
      </c>
      <c r="E28" s="83" t="n">
        <v>2800</v>
      </c>
      <c r="F28" s="84">
        <f>INDEX(C28:E28,1,Assumptions!$B$5)</f>
        <v>1500</v>
      </c>
      <c r="G28" s="21" t="inlineStr">
        <is>
          <t>A fully-online team without a paid lead flow will stall. This is the cost of feeding them owner leads.</t>
        </is>
      </c>
    </row>
    <row r="29" ht="22" customHeight="1">
      <c r="A29" s="81" t="inlineStr">
        <is>
          <t>Outreach tooling, CRM &amp; lead database</t>
        </is>
      </c>
      <c r="B29" s="82" t="inlineStr">
        <is>
          <t>AED/month</t>
        </is>
      </c>
      <c r="C29" s="83" t="n">
        <v>150</v>
      </c>
      <c r="D29" s="83" t="n">
        <v>280</v>
      </c>
      <c r="E29" s="83" t="n">
        <v>450</v>
      </c>
      <c r="F29" s="84">
        <f>INDEX(C29:E29,1,Assumptions!$B$5)</f>
        <v>280</v>
      </c>
      <c r="G29" s="21" t="inlineStr">
        <is>
          <t>LinkedIn Sales Navigator / Property Finder lead access / CRM seats.</t>
        </is>
      </c>
    </row>
    <row r="30" ht="22" customHeight="1">
      <c r="A30" s="81" t="inlineStr">
        <is>
          <t>Team coordination &amp; QA time</t>
        </is>
      </c>
      <c r="B30" s="82" t="inlineStr">
        <is>
          <t>AED/month</t>
        </is>
      </c>
      <c r="C30" s="83" t="n">
        <v>0</v>
      </c>
      <c r="D30" s="83" t="n">
        <v>300</v>
      </c>
      <c r="E30" s="83" t="n">
        <v>600</v>
      </c>
      <c r="F30" s="84">
        <f>INDEX(C30:E30,1,Assumptions!$B$5)</f>
        <v>300</v>
      </c>
      <c r="G30" s="21" t="inlineStr">
        <is>
          <t>Someone has to check the work. At 2–4 remote people this is light but not zero.</t>
        </is>
      </c>
    </row>
    <row r="31" ht="18" customHeight="1">
      <c r="A31" s="4" t="inlineStr">
        <is>
          <t>4.  MARKETING OPTION 2  —  REMOTE OFFICE OUTSIDE UAE  (4 hrs/day)</t>
        </is>
      </c>
      <c r="B31" s="5" t="n"/>
      <c r="C31" s="5" t="n"/>
      <c r="D31" s="5" t="n"/>
      <c r="E31" s="5" t="n"/>
      <c r="F31" s="5" t="n"/>
      <c r="G31" s="5" t="n"/>
    </row>
    <row r="32" ht="22" customHeight="1">
      <c r="A32" s="81" t="inlineStr">
        <is>
          <t>Team size</t>
        </is>
      </c>
      <c r="B32" s="82" t="inlineStr">
        <is>
          <t>persons</t>
        </is>
      </c>
      <c r="C32" s="37" t="n">
        <v>4</v>
      </c>
      <c r="D32" s="37" t="n">
        <v>5</v>
      </c>
      <c r="E32" s="37" t="n">
        <v>6</v>
      </c>
      <c r="F32" s="88">
        <f>INDEX(C32:E32,1,Assumptions!$B$5)</f>
        <v>5</v>
      </c>
      <c r="G32" s="21" t="inlineStr">
        <is>
          <t>Per management: 4–6 persons.</t>
        </is>
      </c>
    </row>
    <row r="33" ht="22" customHeight="1">
      <c r="A33" s="81" t="inlineStr">
        <is>
          <t>Cost per person</t>
        </is>
      </c>
      <c r="B33" s="82" t="inlineStr">
        <is>
          <t>AED/month</t>
        </is>
      </c>
      <c r="C33" s="28" t="n">
        <v>180</v>
      </c>
      <c r="D33" s="28" t="n">
        <v>240</v>
      </c>
      <c r="E33" s="28" t="n">
        <v>300</v>
      </c>
      <c r="F33" s="84">
        <f>INDEX(C33:E33,1,Assumptions!$B$5)</f>
        <v>240</v>
      </c>
      <c r="G33" s="21" t="inlineStr">
        <is>
          <t>Per management: AED 180–300 per person.</t>
        </is>
      </c>
    </row>
    <row r="34" ht="22" customHeight="1">
      <c r="A34" s="81" t="inlineStr">
        <is>
          <t>Coworking area rent</t>
        </is>
      </c>
      <c r="B34" s="82" t="inlineStr">
        <is>
          <t>AED/month</t>
        </is>
      </c>
      <c r="C34" s="28" t="n">
        <v>1350</v>
      </c>
      <c r="D34" s="28" t="n">
        <v>1425</v>
      </c>
      <c r="E34" s="28" t="n">
        <v>1500</v>
      </c>
      <c r="F34" s="84">
        <f>INDEX(C34:E34,1,Assumptions!$B$5)</f>
        <v>1425</v>
      </c>
      <c r="G34" s="21" t="inlineStr">
        <is>
          <t>Per management: AED 1,350–1,500.</t>
        </is>
      </c>
    </row>
    <row r="35" ht="22" customHeight="1">
      <c r="A35" s="81" t="inlineStr">
        <is>
          <t>Local internet, utilities &amp; equipment</t>
        </is>
      </c>
      <c r="B35" s="82" t="inlineStr">
        <is>
          <t>AED/month</t>
        </is>
      </c>
      <c r="C35" s="83" t="n">
        <v>200</v>
      </c>
      <c r="D35" s="83" t="n">
        <v>350</v>
      </c>
      <c r="E35" s="83" t="n">
        <v>550</v>
      </c>
      <c r="F35" s="84">
        <f>INDEX(C35:E35,1,Assumptions!$B$5)</f>
        <v>350</v>
      </c>
      <c r="G35" s="21" t="inlineStr">
        <is>
          <t>Not in the original brief but unavoidable — a physical room needs connectivity and machines.</t>
        </is>
      </c>
    </row>
    <row r="36" ht="22" customHeight="1">
      <c r="A36" s="81" t="inlineStr">
        <is>
          <t>On-site supervisor / team lead</t>
        </is>
      </c>
      <c r="B36" s="82" t="inlineStr">
        <is>
          <t>AED/month</t>
        </is>
      </c>
      <c r="C36" s="83" t="n">
        <v>0</v>
      </c>
      <c r="D36" s="83" t="n">
        <v>500</v>
      </c>
      <c r="E36" s="83" t="n">
        <v>900</v>
      </c>
      <c r="F36" s="84">
        <f>INDEX(C36:E36,1,Assumptions!$B$5)</f>
        <v>500</v>
      </c>
      <c r="G36" s="21" t="inlineStr">
        <is>
          <t>Not in the original brief. 4–6 people in a physical room with no supervisor will drift. Recommend keeping this.</t>
        </is>
      </c>
    </row>
    <row r="37" ht="22" customHeight="1">
      <c r="A37" s="81" t="inlineStr">
        <is>
          <t>Digital ads &amp; lead generation</t>
        </is>
      </c>
      <c r="B37" s="82" t="inlineStr">
        <is>
          <t>AED/month</t>
        </is>
      </c>
      <c r="C37" s="83" t="n">
        <v>400</v>
      </c>
      <c r="D37" s="83" t="n">
        <v>900</v>
      </c>
      <c r="E37" s="83" t="n">
        <v>1600</v>
      </c>
      <c r="F37" s="84">
        <f>INDEX(C37:E37,1,Assumptions!$B$5)</f>
        <v>900</v>
      </c>
      <c r="G37" s="21" t="inlineStr">
        <is>
          <t>Lower than Option 1 — a larger team does more manual prospecting, so less paid volume is needed.</t>
        </is>
      </c>
    </row>
    <row r="38" ht="22" customHeight="1">
      <c r="A38" s="81" t="inlineStr">
        <is>
          <t>Local compliance / entity or contractor arrangement</t>
        </is>
      </c>
      <c r="B38" s="82" t="inlineStr">
        <is>
          <t>AED/month</t>
        </is>
      </c>
      <c r="C38" s="83" t="n">
        <v>0</v>
      </c>
      <c r="D38" s="83" t="n">
        <v>400</v>
      </c>
      <c r="E38" s="83" t="n">
        <v>900</v>
      </c>
      <c r="F38" s="84">
        <f>INDEX(C38:E38,1,Assumptions!$B$5)</f>
        <v>400</v>
      </c>
      <c r="G38" s="21" t="inlineStr">
        <is>
          <t>Not in the original brief. Engaging staff outside the UAE needs a compliant contracting route. Flagging it rather than pretending it is free.</t>
        </is>
      </c>
    </row>
    <row r="39" ht="18" customHeight="1">
      <c r="A39" s="4" t="inlineStr">
        <is>
          <t>5.  UNIT-ACQUISITION COMMISSION  —  the 2% per management</t>
        </is>
      </c>
      <c r="B39" s="5" t="n"/>
      <c r="C39" s="5" t="n"/>
      <c r="D39" s="5" t="n"/>
      <c r="E39" s="5" t="n"/>
      <c r="F39" s="5" t="n"/>
      <c r="G39" s="5" t="n"/>
    </row>
    <row r="40" ht="22" customHeight="1">
      <c r="A40" s="81" t="inlineStr">
        <is>
          <t>Trailing commission on each signed unit</t>
        </is>
      </c>
      <c r="B40" s="82" t="inlineStr">
        <is>
          <t xml:space="preserve">% </t>
        </is>
      </c>
      <c r="C40" s="92" t="n">
        <v>0.02</v>
      </c>
      <c r="D40" s="92" t="n">
        <v>0.02</v>
      </c>
      <c r="E40" s="92" t="n">
        <v>0.02</v>
      </c>
      <c r="F40" s="91">
        <f>INDEX(C40:E40,1,Assumptions!$B$5)</f>
        <v>0.02</v>
      </c>
      <c r="G40" s="21" t="inlineStr">
        <is>
          <t>Per management: 2% for each unit signed, ONGOING on that unit's monthly revenue.</t>
        </is>
      </c>
    </row>
    <row r="41" ht="33" customHeight="1">
      <c r="A41" s="81" t="inlineStr">
        <is>
          <t>Commission base</t>
        </is>
      </c>
      <c r="B41" s="82" t="inlineStr">
        <is>
          <t>—</t>
        </is>
      </c>
      <c r="C41" s="37" t="n">
        <v>1</v>
      </c>
      <c r="D41" s="37" t="n">
        <v>1</v>
      </c>
      <c r="E41" s="37" t="n">
        <v>1</v>
      </c>
      <c r="F41" s="88">
        <f>INDEX(C41:E41,1,Assumptions!$B$5)</f>
        <v>1</v>
      </c>
      <c r="G41" s="21" t="inlineStr">
        <is>
          <t>1 = 2% of the unit's GROSS booking revenue (i.e. c.10% of Orizuru's management fee on that unit).  2 = 2% of Orizuru's management fee only (far cheaper, far weaker incentive). Change the number to switch base.</t>
        </is>
      </c>
    </row>
    <row r="42" ht="18" customHeight="1">
      <c r="A42" s="4" t="inlineStr">
        <is>
          <t>6.  TECHNOLOGY, PLATFORM &amp; AI</t>
        </is>
      </c>
      <c r="B42" s="5" t="n"/>
      <c r="C42" s="5" t="n"/>
      <c r="D42" s="5" t="n"/>
      <c r="E42" s="5" t="n"/>
      <c r="F42" s="5" t="n"/>
      <c r="G42" s="5" t="n"/>
    </row>
    <row r="43" ht="22" customHeight="1">
      <c r="A43" s="81" t="inlineStr">
        <is>
          <t>PMS / channel manager licence</t>
        </is>
      </c>
      <c r="B43" s="82" t="inlineStr">
        <is>
          <t>AED/unit/mo</t>
        </is>
      </c>
      <c r="C43" s="83" t="n">
        <v>55</v>
      </c>
      <c r="D43" s="83" t="n">
        <v>75</v>
      </c>
      <c r="E43" s="83" t="n">
        <v>95</v>
      </c>
      <c r="F43" s="84">
        <f>INDEX(C43:E43,1,Assumptions!$B$5)</f>
        <v>75</v>
      </c>
      <c r="G43" s="21" t="inlineStr">
        <is>
          <t>Hostaway / Guesty style per-property pricing. Scales directly with the portfolio.</t>
        </is>
      </c>
    </row>
    <row r="44" ht="22" customHeight="1">
      <c r="A44" s="81" t="inlineStr">
        <is>
          <t>Dynamic pricing tool</t>
        </is>
      </c>
      <c r="B44" s="82" t="inlineStr">
        <is>
          <t>AED/unit/mo</t>
        </is>
      </c>
      <c r="C44" s="83" t="n">
        <v>20</v>
      </c>
      <c r="D44" s="83" t="n">
        <v>32</v>
      </c>
      <c r="E44" s="83" t="n">
        <v>45</v>
      </c>
      <c r="F44" s="84">
        <f>INDEX(C44:E44,1,Assumptions!$B$5)</f>
        <v>32</v>
      </c>
      <c r="G44" s="21" t="inlineStr">
        <is>
          <t>PriceLabs / Wheelhouse. Typically pays for itself many times over in RevPAR.</t>
        </is>
      </c>
    </row>
    <row r="45" ht="22" customHeight="1">
      <c r="A45" s="81" t="inlineStr">
        <is>
          <t>Smart-lock / access platform</t>
        </is>
      </c>
      <c r="B45" s="82" t="inlineStr">
        <is>
          <t>AED/unit/mo</t>
        </is>
      </c>
      <c r="C45" s="83" t="n">
        <v>10</v>
      </c>
      <c r="D45" s="83" t="n">
        <v>18</v>
      </c>
      <c r="E45" s="83" t="n">
        <v>28</v>
      </c>
      <c r="F45" s="84">
        <f>INDEX(C45:E45,1,Assumptions!$B$5)</f>
        <v>18</v>
      </c>
      <c r="G45" s="21" t="inlineStr">
        <is>
          <t>Recurring licence on the hardware installed at CAPEX.</t>
        </is>
      </c>
    </row>
    <row r="46" ht="33" customHeight="1">
      <c r="A46" s="81" t="inlineStr">
        <is>
          <t>AI subscriptions</t>
        </is>
      </c>
      <c r="B46" s="82" t="inlineStr">
        <is>
          <t>AED/month</t>
        </is>
      </c>
      <c r="C46" s="28" t="n">
        <v>800</v>
      </c>
      <c r="D46" s="15">
        <f>'AI Subscriptions'!E16</f>
        <v>1318.4275</v>
      </c>
      <c r="E46" s="28" t="n">
        <v>3200</v>
      </c>
      <c r="F46" s="84">
        <f>INDEX(C46:E46,1,Assumptions!$B$5)</f>
        <v>1318.4275</v>
      </c>
      <c r="G46" s="21" t="inlineStr">
        <is>
          <t>Per management (marketing/technology brief, item 5). Base links live to the 'AI Subscriptions' tab. Low = trimmed stack; High = full stack plus extra seats as the marketing team scales.</t>
        </is>
      </c>
    </row>
    <row r="47" ht="22" customHeight="1">
      <c r="A47" s="81" t="inlineStr">
        <is>
          <t>Google Workspace / business email</t>
        </is>
      </c>
      <c r="B47" s="82" t="inlineStr">
        <is>
          <t>AED/month</t>
        </is>
      </c>
      <c r="C47" s="83" t="n">
        <v>90</v>
      </c>
      <c r="D47" s="83" t="n">
        <v>150</v>
      </c>
      <c r="E47" s="83" t="n">
        <v>260</v>
      </c>
      <c r="F47" s="84">
        <f>INDEX(C47:E47,1,Assumptions!$B$5)</f>
        <v>150</v>
      </c>
      <c r="G47" s="21" t="inlineStr">
        <is>
          <t>Per-seat, scales with headcount.</t>
        </is>
      </c>
    </row>
    <row r="48" ht="22" customHeight="1">
      <c r="A48" s="81" t="inlineStr">
        <is>
          <t>Accounting software (VAT-compliant)</t>
        </is>
      </c>
      <c r="B48" s="82" t="inlineStr">
        <is>
          <t>AED/month</t>
        </is>
      </c>
      <c r="C48" s="83" t="n">
        <v>90</v>
      </c>
      <c r="D48" s="83" t="n">
        <v>160</v>
      </c>
      <c r="E48" s="83" t="n">
        <v>280</v>
      </c>
      <c r="F48" s="84">
        <f>INDEX(C48:E48,1,Assumptions!$B$5)</f>
        <v>160</v>
      </c>
      <c r="G48" s="21" t="inlineStr">
        <is>
          <t>Zoho Books / Xero. Mandatory once VAT-registered.</t>
        </is>
      </c>
    </row>
    <row r="49" ht="22" customHeight="1">
      <c r="A49" s="81" t="inlineStr">
        <is>
          <t>Website hosting &amp; direct booking engine</t>
        </is>
      </c>
      <c r="B49" s="82" t="inlineStr">
        <is>
          <t>AED/month</t>
        </is>
      </c>
      <c r="C49" s="83" t="n">
        <v>100</v>
      </c>
      <c r="D49" s="83" t="n">
        <v>190</v>
      </c>
      <c r="E49" s="83" t="n">
        <v>340</v>
      </c>
      <c r="F49" s="84">
        <f>INDEX(C49:E49,1,Assumptions!$B$5)</f>
        <v>190</v>
      </c>
      <c r="G49" s="21" t="inlineStr">
        <is>
          <t>Recurring cost on the platform built at CAPEX.</t>
        </is>
      </c>
    </row>
    <row r="50" ht="22" customHeight="1">
      <c r="A50" s="81" t="inlineStr">
        <is>
          <t>VoIP, WhatsApp Business API &amp; guest support line</t>
        </is>
      </c>
      <c r="B50" s="82" t="inlineStr">
        <is>
          <t>AED/month</t>
        </is>
      </c>
      <c r="C50" s="83" t="n">
        <v>120</v>
      </c>
      <c r="D50" s="83" t="n">
        <v>230</v>
      </c>
      <c r="E50" s="83" t="n">
        <v>400</v>
      </c>
      <c r="F50" s="84">
        <f>INDEX(C50:E50,1,Assumptions!$B$5)</f>
        <v>230</v>
      </c>
      <c r="G50" s="21" t="inlineStr">
        <is>
          <t>Required to deliver the 24/7 guest support promised in the Business Profile.</t>
        </is>
      </c>
    </row>
    <row r="51" ht="18" customHeight="1">
      <c r="A51" s="4" t="inlineStr">
        <is>
          <t>7.  UNIT OPERATIONS  —  variable, per LIVE unit per month</t>
        </is>
      </c>
      <c r="B51" s="5" t="n"/>
      <c r="C51" s="5" t="n"/>
      <c r="D51" s="5" t="n"/>
      <c r="E51" s="5" t="n"/>
      <c r="F51" s="5" t="n"/>
      <c r="G51" s="5" t="n"/>
    </row>
    <row r="52" ht="22" customHeight="1">
      <c r="A52" s="81" t="inlineStr">
        <is>
          <t>DET holiday-home permit renewal</t>
        </is>
      </c>
      <c r="B52" s="82" t="inlineStr">
        <is>
          <t>AED/unit/yr</t>
        </is>
      </c>
      <c r="C52" s="83" t="n">
        <v>1200</v>
      </c>
      <c r="D52" s="83" t="n">
        <v>1520</v>
      </c>
      <c r="E52" s="83" t="n">
        <v>1800</v>
      </c>
      <c r="F52" s="84">
        <f>INDEX(C52:E52,1,Assumptions!$B$5)</f>
        <v>1520</v>
      </c>
      <c r="G52" s="21" t="inlineStr">
        <is>
          <t>Accrued monthly at 1/12. Re-chargeable to the owner in most contracts — if you re-charge, set this to 0.</t>
        </is>
      </c>
    </row>
    <row r="53" ht="33" customHeight="1">
      <c r="A53" s="81" t="inlineStr">
        <is>
          <t>Housekeeping &amp; laundry — net of guest recharge</t>
        </is>
      </c>
      <c r="B53" s="82" t="inlineStr">
        <is>
          <t>AED/unit/mo</t>
        </is>
      </c>
      <c r="C53" s="83" t="n">
        <v>0</v>
      </c>
      <c r="D53" s="83" t="n">
        <v>180</v>
      </c>
      <c r="E53" s="83" t="n">
        <v>420</v>
      </c>
      <c r="F53" s="84">
        <f>INDEX(C53:E53,1,Assumptions!$B$5)</f>
        <v>180</v>
      </c>
      <c r="G53" s="21" t="inlineStr">
        <is>
          <t>Cleaning fees are normally charged to the guest and pass straight through. This line is the RESIDUAL Orizuru absorbs on unsold nights, owner stays and disputes. Genuinely 0 if you recharge everything.</t>
        </is>
      </c>
    </row>
    <row r="54" ht="22" customHeight="1">
      <c r="A54" s="81" t="inlineStr">
        <is>
          <t>Guest consumables &amp; amenities</t>
        </is>
      </c>
      <c r="B54" s="82" t="inlineStr">
        <is>
          <t>AED/unit/mo</t>
        </is>
      </c>
      <c r="C54" s="83" t="n">
        <v>55</v>
      </c>
      <c r="D54" s="83" t="n">
        <v>100</v>
      </c>
      <c r="E54" s="83" t="n">
        <v>170</v>
      </c>
      <c r="F54" s="84">
        <f>INDEX(C54:E54,1,Assumptions!$B$5)</f>
        <v>100</v>
      </c>
      <c r="G54" s="21" t="inlineStr">
        <is>
          <t>Toiletries, coffee, water, welcome items. The Japanese-hospitality positioning makes this a brand cost, not a cost to strip out.</t>
        </is>
      </c>
    </row>
    <row r="55" ht="22" customHeight="1">
      <c r="A55" s="81" t="inlineStr">
        <is>
          <t>Maintenance coordination &amp; petty repairs</t>
        </is>
      </c>
      <c r="B55" s="82" t="inlineStr">
        <is>
          <t>AED/unit/mo</t>
        </is>
      </c>
      <c r="C55" s="83" t="n">
        <v>40</v>
      </c>
      <c r="D55" s="83" t="n">
        <v>90</v>
      </c>
      <c r="E55" s="83" t="n">
        <v>160</v>
      </c>
      <c r="F55" s="84">
        <f>INDEX(C55:E55,1,Assumptions!$B$5)</f>
        <v>90</v>
      </c>
      <c r="G55" s="21" t="inlineStr">
        <is>
          <t>Orizuru's coordination cost. Major repairs are billed to the owner.</t>
        </is>
      </c>
    </row>
    <row r="56" ht="22" customHeight="1">
      <c r="A56" s="81" t="inlineStr">
        <is>
          <t>Linen &amp; towel replacement</t>
        </is>
      </c>
      <c r="B56" s="82" t="inlineStr">
        <is>
          <t>AED/unit/mo</t>
        </is>
      </c>
      <c r="C56" s="83" t="n">
        <v>20</v>
      </c>
      <c r="D56" s="83" t="n">
        <v>40</v>
      </c>
      <c r="E56" s="83" t="n">
        <v>70</v>
      </c>
      <c r="F56" s="84">
        <f>INDEX(C56:E56,1,Assumptions!$B$5)</f>
        <v>40</v>
      </c>
      <c r="G56" s="21" t="inlineStr">
        <is>
          <t>Replacement cycle on the par stock bought at CAPEX. Real and routinely forgotten.</t>
        </is>
      </c>
    </row>
    <row r="57" ht="18" customHeight="1">
      <c r="A57" s="4" t="inlineStr">
        <is>
          <t>8.  OFFICE &amp; ADMINISTRATION  —  Dubai</t>
        </is>
      </c>
      <c r="B57" s="5" t="n"/>
      <c r="C57" s="5" t="n"/>
      <c r="D57" s="5" t="n"/>
      <c r="E57" s="5" t="n"/>
      <c r="F57" s="5" t="n"/>
      <c r="G57" s="5" t="n"/>
    </row>
    <row r="58" ht="22" customHeight="1">
      <c r="A58" s="81" t="inlineStr">
        <is>
          <t>Office rent / registered address</t>
        </is>
      </c>
      <c r="B58" s="82" t="inlineStr">
        <is>
          <t>AED/month</t>
        </is>
      </c>
      <c r="C58" s="83" t="n">
        <v>1500</v>
      </c>
      <c r="D58" s="83" t="n">
        <v>2500</v>
      </c>
      <c r="E58" s="83" t="n">
        <v>4200</v>
      </c>
      <c r="F58" s="84">
        <f>INDEX(C58:E58,1,Assumptions!$B$5)</f>
        <v>2500</v>
      </c>
      <c r="G58" s="21" t="inlineStr">
        <is>
          <t>Fronds Building – Office 02. Required to hold the trade licence.</t>
        </is>
      </c>
    </row>
    <row r="59" ht="22" customHeight="1">
      <c r="A59" s="81" t="inlineStr">
        <is>
          <t>Office DEWA, internet &amp; chiller</t>
        </is>
      </c>
      <c r="B59" s="82" t="inlineStr">
        <is>
          <t>AED/month</t>
        </is>
      </c>
      <c r="C59" s="83" t="n">
        <v>300</v>
      </c>
      <c r="D59" s="83" t="n">
        <v>520</v>
      </c>
      <c r="E59" s="83" t="n">
        <v>900</v>
      </c>
      <c r="F59" s="84">
        <f>INDEX(C59:E59,1,Assumptions!$B$5)</f>
        <v>520</v>
      </c>
      <c r="G59" s="21" t="inlineStr">
        <is>
          <t>Office only. Unit utilities sit with the owner under the commission-only model.</t>
        </is>
      </c>
    </row>
    <row r="60" ht="22" customHeight="1">
      <c r="A60" s="81" t="inlineStr">
        <is>
          <t>Mobile &amp; telephone</t>
        </is>
      </c>
      <c r="B60" s="82" t="inlineStr">
        <is>
          <t>AED/month</t>
        </is>
      </c>
      <c r="C60" s="83" t="n">
        <v>150</v>
      </c>
      <c r="D60" s="83" t="n">
        <v>260</v>
      </c>
      <c r="E60" s="83" t="n">
        <v>420</v>
      </c>
      <c r="F60" s="84">
        <f>INDEX(C60:E60,1,Assumptions!$B$5)</f>
        <v>260</v>
      </c>
      <c r="G60" s="21" t="inlineStr">
        <is>
          <t>Includes the dedicated 24/7 guest line.</t>
        </is>
      </c>
    </row>
    <row r="61" ht="22" customHeight="1">
      <c r="A61" s="81" t="inlineStr">
        <is>
          <t>Transport, fuel, Salik &amp; parking</t>
        </is>
      </c>
      <c r="B61" s="82" t="inlineStr">
        <is>
          <t>AED/month</t>
        </is>
      </c>
      <c r="C61" s="83" t="n">
        <v>500</v>
      </c>
      <c r="D61" s="83" t="n">
        <v>1100</v>
      </c>
      <c r="E61" s="83" t="n">
        <v>2200</v>
      </c>
      <c r="F61" s="84">
        <f>INDEX(C61:E61,1,Assumptions!$B$5)</f>
        <v>1100</v>
      </c>
      <c r="G61" s="21" t="inlineStr">
        <is>
          <t>Check-ins, inspections and owner meetings across Dubai. Rises directly with unit count — the most commonly underestimated line in this business.</t>
        </is>
      </c>
    </row>
    <row r="62" ht="22" customHeight="1">
      <c r="A62" s="81" t="inlineStr">
        <is>
          <t>Office consumables, printing &amp; courier</t>
        </is>
      </c>
      <c r="B62" s="82" t="inlineStr">
        <is>
          <t>AED/month</t>
        </is>
      </c>
      <c r="C62" s="83" t="n">
        <v>100</v>
      </c>
      <c r="D62" s="83" t="n">
        <v>200</v>
      </c>
      <c r="E62" s="83" t="n">
        <v>380</v>
      </c>
      <c r="F62" s="84">
        <f>INDEX(C62:E62,1,Assumptions!$B$5)</f>
        <v>200</v>
      </c>
      <c r="G62" s="21" t="inlineStr">
        <is>
          <t>Contracts, DET paperwork, key courier.</t>
        </is>
      </c>
    </row>
    <row r="63" ht="22" customHeight="1">
      <c r="A63" s="81" t="inlineStr">
        <is>
          <t>Bank charges &amp; account maintenance</t>
        </is>
      </c>
      <c r="B63" s="82" t="inlineStr">
        <is>
          <t>AED/month</t>
        </is>
      </c>
      <c r="C63" s="83" t="n">
        <v>100</v>
      </c>
      <c r="D63" s="83" t="n">
        <v>175</v>
      </c>
      <c r="E63" s="83" t="n">
        <v>320</v>
      </c>
      <c r="F63" s="84">
        <f>INDEX(C63:E63,1,Assumptions!$B$5)</f>
        <v>175</v>
      </c>
      <c r="G63" s="21" t="inlineStr">
        <is>
          <t>Multi-currency corporate current account per the Business Profile.</t>
        </is>
      </c>
    </row>
    <row r="64" ht="22" customHeight="1">
      <c r="A64" s="81" t="inlineStr">
        <is>
          <t>Payment gateway / OTA payout fees</t>
        </is>
      </c>
      <c r="B64" s="82" t="inlineStr">
        <is>
          <t>% of gross collections</t>
        </is>
      </c>
      <c r="C64" s="90" t="n">
        <v>0.018</v>
      </c>
      <c r="D64" s="90" t="n">
        <v>0.026</v>
      </c>
      <c r="E64" s="90" t="n">
        <v>0.032</v>
      </c>
      <c r="F64" s="91">
        <f>INDEX(C64:E64,1,Assumptions!$B$5)</f>
        <v>0.026</v>
      </c>
      <c r="G64" s="21" t="inlineStr">
        <is>
          <t>Applied to gross booking revenue passing through Orizuru's account. Excluded if the OTA pays the owner directly — set to 0 in that case.</t>
        </is>
      </c>
    </row>
    <row r="65" ht="18" customHeight="1">
      <c r="A65" s="4" t="inlineStr">
        <is>
          <t>9.  PROFESSIONAL, COMPLIANCE &amp; INSURANCE</t>
        </is>
      </c>
      <c r="B65" s="5" t="n"/>
      <c r="C65" s="5" t="n"/>
      <c r="D65" s="5" t="n"/>
      <c r="E65" s="5" t="n"/>
      <c r="F65" s="5" t="n"/>
      <c r="G65" s="5" t="n"/>
    </row>
    <row r="66" ht="22" customHeight="1">
      <c r="A66" s="81" t="inlineStr">
        <is>
          <t>Bookkeeping &amp; management accounts</t>
        </is>
      </c>
      <c r="B66" s="82" t="inlineStr">
        <is>
          <t>AED/month</t>
        </is>
      </c>
      <c r="C66" s="83" t="n">
        <v>500</v>
      </c>
      <c r="D66" s="83" t="n">
        <v>900</v>
      </c>
      <c r="E66" s="83" t="n">
        <v>1600</v>
      </c>
      <c r="F66" s="84">
        <f>INDEX(C66:E66,1,Assumptions!$B$5)</f>
        <v>900</v>
      </c>
      <c r="G66" s="21" t="inlineStr">
        <is>
          <t>Outsourced. Cheaper and more reliable than an in-house hire at this scale.</t>
        </is>
      </c>
    </row>
    <row r="67" ht="22" customHeight="1">
      <c r="A67" s="81" t="inlineStr">
        <is>
          <t>VAT return preparation &amp; filing</t>
        </is>
      </c>
      <c r="B67" s="82" t="inlineStr">
        <is>
          <t>AED/quarter</t>
        </is>
      </c>
      <c r="C67" s="83" t="n">
        <v>400</v>
      </c>
      <c r="D67" s="83" t="n">
        <v>700</v>
      </c>
      <c r="E67" s="83" t="n">
        <v>1200</v>
      </c>
      <c r="F67" s="84">
        <f>INDEX(C67:E67,1,Assumptions!$B$5)</f>
        <v>700</v>
      </c>
      <c r="G67" s="21" t="inlineStr">
        <is>
          <t>Quarterly filing. Charged in Months 3, 6, 9 and 12.</t>
        </is>
      </c>
    </row>
    <row r="68" ht="22" customHeight="1">
      <c r="A68" s="81" t="inlineStr">
        <is>
          <t>Corporate Tax compliance &amp; filing</t>
        </is>
      </c>
      <c r="B68" s="82" t="inlineStr">
        <is>
          <t>AED/year</t>
        </is>
      </c>
      <c r="C68" s="83" t="n">
        <v>2500</v>
      </c>
      <c r="D68" s="83" t="n">
        <v>4000</v>
      </c>
      <c r="E68" s="83" t="n">
        <v>6500</v>
      </c>
      <c r="F68" s="84">
        <f>INDEX(C68:E68,1,Assumptions!$B$5)</f>
        <v>4000</v>
      </c>
      <c r="G68" s="21" t="inlineStr">
        <is>
          <t>UAE Corporate Tax at 9% above AED 375,000 taxable profit. Compliance cost only — tax itself is not OPEX.</t>
        </is>
      </c>
    </row>
    <row r="69" ht="22" customHeight="1">
      <c r="A69" s="81" t="inlineStr">
        <is>
          <t>External audit</t>
        </is>
      </c>
      <c r="B69" s="82" t="inlineStr">
        <is>
          <t>AED/year</t>
        </is>
      </c>
      <c r="C69" s="83" t="n">
        <v>3500</v>
      </c>
      <c r="D69" s="83" t="n">
        <v>6000</v>
      </c>
      <c r="E69" s="83" t="n">
        <v>10000</v>
      </c>
      <c r="F69" s="84">
        <f>INDEX(C69:E69,1,Assumptions!$B$5)</f>
        <v>6000</v>
      </c>
      <c r="G69" s="21" t="inlineStr">
        <is>
          <t>Accrued monthly. Banks and owners increasingly require audited accounts.</t>
        </is>
      </c>
    </row>
    <row r="70" ht="22" customHeight="1">
      <c r="A70" s="81" t="inlineStr">
        <is>
          <t>PRO / government liaison services</t>
        </is>
      </c>
      <c r="B70" s="82" t="inlineStr">
        <is>
          <t>AED/year</t>
        </is>
      </c>
      <c r="C70" s="83" t="n">
        <v>1500</v>
      </c>
      <c r="D70" s="83" t="n">
        <v>2800</v>
      </c>
      <c r="E70" s="83" t="n">
        <v>4500</v>
      </c>
      <c r="F70" s="84">
        <f>INDEX(C70:E70,1,Assumptions!$B$5)</f>
        <v>2800</v>
      </c>
      <c r="G70" s="21" t="inlineStr">
        <is>
          <t>Visa renewals, licence amendments, DET filings.</t>
        </is>
      </c>
    </row>
    <row r="71" ht="22" customHeight="1">
      <c r="A71" s="81" t="inlineStr">
        <is>
          <t>Trade licence &amp; DET operator permit renewal</t>
        </is>
      </c>
      <c r="B71" s="82" t="inlineStr">
        <is>
          <t>AED/year</t>
        </is>
      </c>
      <c r="C71" s="83" t="n">
        <v>14000</v>
      </c>
      <c r="D71" s="83" t="n">
        <v>19000</v>
      </c>
      <c r="E71" s="83" t="n">
        <v>26000</v>
      </c>
      <c r="F71" s="84">
        <f>INDEX(C71:E71,1,Assumptions!$B$5)</f>
        <v>19000</v>
      </c>
      <c r="G71" s="21" t="inlineStr">
        <is>
          <t>Accrued monthly so the renewal does not blow a hole in one month's cash. Combines DED licence and DET operator permit renewal.</t>
        </is>
      </c>
    </row>
    <row r="72" ht="22" customHeight="1">
      <c r="A72" s="81" t="inlineStr">
        <is>
          <t>Public liability &amp; professional indemnity insurance</t>
        </is>
      </c>
      <c r="B72" s="82" t="inlineStr">
        <is>
          <t>AED/year</t>
        </is>
      </c>
      <c r="C72" s="83" t="n">
        <v>3000</v>
      </c>
      <c r="D72" s="83" t="n">
        <v>5500</v>
      </c>
      <c r="E72" s="83" t="n">
        <v>9500</v>
      </c>
      <c r="F72" s="84">
        <f>INDEX(C72:E72,1,Assumptions!$B$5)</f>
        <v>5500</v>
      </c>
      <c r="G72" s="21" t="inlineStr">
        <is>
          <t>Essential — Orizuru holds keys to and controls access to other people's property.</t>
        </is>
      </c>
    </row>
    <row r="73" ht="22" customHeight="1">
      <c r="A73" s="81" t="inlineStr">
        <is>
          <t>Legal, contract templates &amp; disputes</t>
        </is>
      </c>
      <c r="B73" s="82" t="inlineStr">
        <is>
          <t>AED/year</t>
        </is>
      </c>
      <c r="C73" s="83" t="n">
        <v>1500</v>
      </c>
      <c r="D73" s="83" t="n">
        <v>3000</v>
      </c>
      <c r="E73" s="83" t="n">
        <v>6000</v>
      </c>
      <c r="F73" s="84">
        <f>INDEX(C73:E73,1,Assumptions!$B$5)</f>
        <v>3000</v>
      </c>
      <c r="G73" s="21" t="inlineStr">
        <is>
          <t>Management agreements, owner disputes, guest damage claims.</t>
        </is>
      </c>
    </row>
    <row r="74" ht="18" customHeight="1">
      <c r="A74" s="4" t="inlineStr">
        <is>
          <t>10.  CONTINGENCY</t>
        </is>
      </c>
      <c r="B74" s="5" t="n"/>
      <c r="C74" s="5" t="n"/>
      <c r="D74" s="5" t="n"/>
      <c r="E74" s="5" t="n"/>
      <c r="F74" s="5" t="n"/>
      <c r="G74" s="5" t="n"/>
    </row>
    <row r="75" ht="22" customHeight="1">
      <c r="A75" s="81" t="inlineStr">
        <is>
          <t>Contingency</t>
        </is>
      </c>
      <c r="B75" s="82" t="inlineStr">
        <is>
          <t>% of total OPEX</t>
        </is>
      </c>
      <c r="C75" s="85" t="n">
        <v>0.03</v>
      </c>
      <c r="D75" s="85" t="n">
        <v>0.05</v>
      </c>
      <c r="E75" s="85" t="n">
        <v>0.08</v>
      </c>
      <c r="F75" s="72">
        <f>INDEX(C75:E75,1,Assumptions!$B$5)</f>
        <v>0.05</v>
      </c>
      <c r="G75" s="21" t="inlineStr">
        <is>
          <t>First-year UAE service company. 5% is the prudent base.</t>
        </is>
      </c>
    </row>
  </sheetData>
  <mergeCells count="12">
    <mergeCell ref="A1:G1"/>
    <mergeCell ref="A17:G17"/>
    <mergeCell ref="A74:G74"/>
    <mergeCell ref="A31:G31"/>
    <mergeCell ref="A39:G39"/>
    <mergeCell ref="A2:G2"/>
    <mergeCell ref="A25:G25"/>
    <mergeCell ref="A57:G57"/>
    <mergeCell ref="A65:G65"/>
    <mergeCell ref="A51:G51"/>
    <mergeCell ref="A10:G10"/>
    <mergeCell ref="A42:G42"/>
  </mergeCells>
  <dataValidations count="2">
    <dataValidation sqref="B4" showDropDown="0" showInputMessage="0" showErrorMessage="0" allowBlank="0" type="list">
      <formula1>"Low,Base,High"</formula1>
    </dataValidation>
    <dataValidation sqref="B6" showDropDown="0" showInputMessage="0" showErrorMessage="0" allowBlank="0" type="list">
      <formula1>"Option 1,Option 2,Both"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68" customWidth="1" min="6" max="6"/>
  </cols>
  <sheetData>
    <row r="1" ht="26" customHeight="1">
      <c r="A1" s="1" t="inlineStr">
        <is>
          <t>CAPEX SUMMARY BY CATEGORY</t>
        </is>
      </c>
      <c r="B1" s="2" t="n"/>
      <c r="C1" s="2" t="n"/>
      <c r="D1" s="2" t="n"/>
      <c r="E1" s="2" t="n"/>
      <c r="F1" s="2" t="n"/>
    </row>
    <row r="2" ht="16" customHeight="1">
      <c r="A2" s="3" t="inlineStr">
        <is>
          <t>All figures AED. Base case is the presentation figure; Low / High frame the range.</t>
        </is>
      </c>
      <c r="B2" s="2" t="n"/>
      <c r="C2" s="2" t="n"/>
      <c r="D2" s="2" t="n"/>
      <c r="E2" s="2" t="n"/>
      <c r="F2" s="2" t="n"/>
    </row>
    <row r="4" ht="24" customHeight="1">
      <c r="A4" s="13" t="inlineStr">
        <is>
          <t>Category</t>
        </is>
      </c>
      <c r="B4" s="13" t="inlineStr">
        <is>
          <t>Low</t>
        </is>
      </c>
      <c r="C4" s="13" t="inlineStr">
        <is>
          <t>Base</t>
        </is>
      </c>
      <c r="D4" s="13" t="inlineStr">
        <is>
          <t>High</t>
        </is>
      </c>
      <c r="E4" s="13" t="inlineStr">
        <is>
          <t>% of Base total</t>
        </is>
      </c>
      <c r="F4" s="13" t="inlineStr">
        <is>
          <t>Comment</t>
        </is>
      </c>
    </row>
    <row r="5" ht="26" customHeight="1">
      <c r="A5" s="14" t="inlineStr">
        <is>
          <t>A. COMPANY FORMATION, LICENSING &amp; REGULATORY</t>
        </is>
      </c>
      <c r="B5" s="15">
        <f>'CAPEX Detail'!G45</f>
        <v>29437</v>
      </c>
      <c r="C5" s="15">
        <f>'CAPEX Detail'!H45</f>
        <v>45337</v>
      </c>
      <c r="D5" s="15">
        <f>'CAPEX Detail'!I45</f>
        <v>62837</v>
      </c>
      <c r="E5" s="93">
        <f>IF($C$12=0,0,C5/$C$12)</f>
        <v>0.37419609370873175</v>
      </c>
      <c r="F5" s="21" t="inlineStr">
        <is>
          <t>Largely fixed and largely unavoidable. Most of it is already incurred as at 03/07/2026.</t>
        </is>
      </c>
    </row>
    <row r="6" ht="26" customHeight="1">
      <c r="A6" s="14" t="inlineStr">
        <is>
          <t>B. TECHNOLOGY, PLATFORM &amp; DIGITAL SETUP</t>
        </is>
      </c>
      <c r="B6" s="15">
        <f>'CAPEX Detail'!G46</f>
        <v>10287</v>
      </c>
      <c r="C6" s="15">
        <f>'CAPEX Detail'!H46</f>
        <v>19787</v>
      </c>
      <c r="D6" s="15">
        <f>'CAPEX Detail'!I46</f>
        <v>37887</v>
      </c>
      <c r="E6" s="93">
        <f>IF($C$12=0,0,C6/$C$12)</f>
        <v>0.16331513126617717</v>
      </c>
      <c r="F6" s="21" t="inlineStr">
        <is>
          <t>The direct booking engine is the highest-return line in the whole CAPEX — it removes OTA commission on repeat guests.</t>
        </is>
      </c>
    </row>
    <row r="7" ht="26" customHeight="1">
      <c r="A7" s="14" t="inlineStr">
        <is>
          <t>C. BRAND &amp; MARKETING SETUP</t>
        </is>
      </c>
      <c r="B7" s="15">
        <f>'CAPEX Detail'!G47</f>
        <v>6200</v>
      </c>
      <c r="C7" s="15">
        <f>'CAPEX Detail'!H47</f>
        <v>11900</v>
      </c>
      <c r="D7" s="15">
        <f>'CAPEX Detail'!I47</f>
        <v>23800</v>
      </c>
      <c r="E7" s="93">
        <f>IF($C$12=0,0,C7/$C$12)</f>
        <v>0.09821853045269664</v>
      </c>
      <c r="F7" s="21" t="inlineStr">
        <is>
          <t>Directly enables both marketing options. The owner pitch deck is what the acquisition team actually sells with.</t>
        </is>
      </c>
    </row>
    <row r="8" ht="26" customHeight="1">
      <c r="A8" s="14" t="inlineStr">
        <is>
          <t>D. OFFICE EQUIPMENT &amp; FURNITURE (DUBAI)</t>
        </is>
      </c>
      <c r="B8" s="15">
        <f>'CAPEX Detail'!G48</f>
        <v>9900</v>
      </c>
      <c r="C8" s="15">
        <f>'CAPEX Detail'!H48</f>
        <v>15000</v>
      </c>
      <c r="D8" s="15">
        <f>'CAPEX Detail'!I48</f>
        <v>24300</v>
      </c>
      <c r="E8" s="93">
        <f>IF($C$12=0,0,C8/$C$12)</f>
        <v>0.12380487031852518</v>
      </c>
      <c r="F8" s="21" t="inlineStr">
        <is>
          <t>Scale-insensitive. Same cost at 1 unit or 80.</t>
        </is>
      </c>
    </row>
    <row r="9" ht="26" customHeight="1">
      <c r="A9" s="14" t="inlineStr">
        <is>
          <t>E. DEPOSITS &amp; PREPAYMENTS</t>
        </is>
      </c>
      <c r="B9" s="15">
        <f>'CAPEX Detail'!G49</f>
        <v>5000</v>
      </c>
      <c r="C9" s="15">
        <f>'CAPEX Detail'!H49</f>
        <v>9800</v>
      </c>
      <c r="D9" s="15">
        <f>'CAPEX Detail'!I49</f>
        <v>17500</v>
      </c>
      <c r="E9" s="93">
        <f>IF($C$12=0,0,C9/$C$12)</f>
        <v>0.08088584860810312</v>
      </c>
      <c r="F9" s="21" t="inlineStr">
        <is>
          <t>Mostly refundable. Cash timing rather than true cost.</t>
        </is>
      </c>
    </row>
    <row r="10">
      <c r="A10" s="14" t="inlineStr">
        <is>
          <t>Unit setup — 1 unit</t>
        </is>
      </c>
      <c r="B10" s="15">
        <f>'CAPEX Detail'!G51</f>
        <v>6105</v>
      </c>
      <c r="C10" s="15">
        <f>'CAPEX Detail'!H51</f>
        <v>9152</v>
      </c>
      <c r="D10" s="15">
        <f>'CAPEX Detail'!I51</f>
        <v>13640</v>
      </c>
      <c r="E10" s="93">
        <f>IF($C$12=0,0,C10/$C$12)</f>
        <v>0.07553747821034283</v>
      </c>
      <c r="F10" s="21" t="inlineStr">
        <is>
          <t>Per management: one unit only. Multiply on the 'Unit Setup' tab for portfolio scale.</t>
        </is>
      </c>
    </row>
    <row r="11">
      <c r="A11" s="14" t="inlineStr">
        <is>
          <t>Contingency</t>
        </is>
      </c>
      <c r="B11" s="15">
        <f>'CAPEX Detail'!G52</f>
        <v>6082.400000000001</v>
      </c>
      <c r="C11" s="15">
        <f>'CAPEX Detail'!H52</f>
        <v>10182.400000000001</v>
      </c>
      <c r="D11" s="15">
        <f>'CAPEX Detail'!I52</f>
        <v>16632.4</v>
      </c>
      <c r="E11" s="93">
        <f>IF($C$12=0,0,C11/$C$12)</f>
        <v>0.0840420474354234</v>
      </c>
      <c r="F11" s="16" t="inlineStr">
        <is>
          <t>10% of company-setup subtotal.</t>
        </is>
      </c>
    </row>
    <row r="12" ht="20" customHeight="1">
      <c r="A12" s="18" t="inlineStr">
        <is>
          <t>TOTAL CAPEX</t>
        </is>
      </c>
      <c r="B12" s="19">
        <f>SUM(B5:B11)</f>
        <v>73011.4</v>
      </c>
      <c r="C12" s="19">
        <f>SUM(C5:C11)</f>
        <v>121158.4</v>
      </c>
      <c r="D12" s="19">
        <f>SUM(D5:D11)</f>
        <v>196596.4</v>
      </c>
      <c r="E12" s="94">
        <f>IF($C$12=0,0,SUM(E5:E11))</f>
        <v>1</v>
      </c>
      <c r="F12" s="5" t="n"/>
    </row>
    <row r="15">
      <c r="A15" s="4" t="inlineStr">
        <is>
          <t>READ-ACROSS</t>
        </is>
      </c>
      <c r="B15" s="5" t="n"/>
      <c r="C15" s="5" t="n"/>
      <c r="D15" s="5" t="n"/>
      <c r="E15" s="5" t="n"/>
      <c r="F15" s="5" t="n"/>
    </row>
    <row r="16" ht="47" customHeight="1">
      <c r="A16" s="33" t="inlineStr">
        <is>
          <t>•  Shareholder capital is AED 200,000 as confirmed. The Business Profile states AED 2,000,000 — reconcile the two before submission. This CAPEX is not sized to either figure; it is built bottom-up from what the business needs. At AED 200,000, CAPEX alone consumes a significant share of the capital — see 'Funding Summary'.</t>
        </is>
      </c>
    </row>
    <row r="17" ht="34" customHeight="1">
      <c r="A17" s="33" t="inlineStr">
        <is>
          <t>•  Because Orizuru operates commission-only, CAPEX is genuinely light: there is no furniture, no unit deposits and no master-lease prepayment. The heavy spend in this business is OPEX, not CAPEX.</t>
        </is>
      </c>
    </row>
    <row r="18" ht="34" customHeight="1">
      <c r="A18" s="33" t="inlineStr">
        <is>
          <t>•  The single largest scaling risk is NOT in this workbook: it is the per-unit setup cost multiplied out. At the Business Profile's 70–80 unit target the unit-setup line alone becomes material — see the scaling table on the 'Unit Setup' tab.</t>
        </is>
      </c>
    </row>
    <row r="19" ht="34" customHeight="1">
      <c r="A19" s="33" t="inlineStr">
        <is>
          <t>•  Refundable items (office deposit, DEWA deposit, labour guarantee) are inside the total. Strip them out if presenting a 'true sunk cost' figure.</t>
        </is>
      </c>
    </row>
  </sheetData>
  <mergeCells count="7">
    <mergeCell ref="A2:F2"/>
    <mergeCell ref="A16:F16"/>
    <mergeCell ref="A19:F19"/>
    <mergeCell ref="A1:F1"/>
    <mergeCell ref="A17:F17"/>
    <mergeCell ref="A18:F18"/>
    <mergeCell ref="A15:F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58" customWidth="1" min="2" max="2"/>
    <col width="7" customWidth="1" min="3" max="3"/>
    <col width="13" customWidth="1" min="4" max="4"/>
    <col width="13" customWidth="1" min="5" max="5"/>
    <col width="13" customWidth="1" min="6" max="6"/>
    <col width="14" customWidth="1" min="7" max="7"/>
    <col width="14" customWidth="1" min="8" max="8"/>
    <col width="14" customWidth="1" min="9" max="9"/>
    <col width="17" customWidth="1" min="10" max="10"/>
    <col width="66" customWidth="1" min="11" max="11"/>
  </cols>
  <sheetData>
    <row r="1" ht="26" customHeight="1">
      <c r="A1" s="1" t="inlineStr">
        <is>
          <t>CAPEX DETAIL — ONE-OFF SETUP EXPENDITURE</t>
        </is>
      </c>
      <c r="B1" s="2" t="n"/>
      <c r="C1" s="2" t="n"/>
      <c r="D1" s="2" t="n"/>
      <c r="E1" s="2" t="n"/>
      <c r="F1" s="2" t="n"/>
      <c r="G1" s="2" t="n"/>
      <c r="H1" s="2" t="n"/>
      <c r="I1" s="2" t="n"/>
      <c r="J1" s="2" t="n"/>
    </row>
    <row r="2" ht="16" customHeight="1">
      <c r="A2" s="3" t="inlineStr">
        <is>
          <t>Company formation, licensing, technology, brand and equipment. Unit setup is on the 'Unit Setup (1 Unit)' tab.</t>
        </is>
      </c>
      <c r="B2" s="2" t="n"/>
      <c r="C2" s="2" t="n"/>
      <c r="D2" s="2" t="n"/>
      <c r="E2" s="2" t="n"/>
      <c r="F2" s="2" t="n"/>
      <c r="G2" s="2" t="n"/>
      <c r="H2" s="2" t="n"/>
      <c r="I2" s="2" t="n"/>
      <c r="J2" s="2" t="n"/>
    </row>
    <row r="4" ht="30" customHeight="1">
      <c r="A4" s="13" t="inlineStr">
        <is>
          <t>Ref</t>
        </is>
      </c>
      <c r="B4" s="13" t="inlineStr">
        <is>
          <t>Line item</t>
        </is>
      </c>
      <c r="C4" s="13" t="inlineStr">
        <is>
          <t>Qty</t>
        </is>
      </c>
      <c r="D4" s="13" t="inlineStr">
        <is>
          <t>Unit cost — Low</t>
        </is>
      </c>
      <c r="E4" s="13" t="inlineStr">
        <is>
          <t>Unit cost — Base</t>
        </is>
      </c>
      <c r="F4" s="13" t="inlineStr">
        <is>
          <t>Unit cost — High</t>
        </is>
      </c>
      <c r="G4" s="13" t="inlineStr">
        <is>
          <t>Total — Low</t>
        </is>
      </c>
      <c r="H4" s="13" t="inlineStr">
        <is>
          <t>Total — Base</t>
        </is>
      </c>
      <c r="I4" s="13" t="inlineStr">
        <is>
          <t>Total — High</t>
        </is>
      </c>
      <c r="J4" s="13" t="inlineStr">
        <is>
          <t>Timing / status</t>
        </is>
      </c>
      <c r="K4" s="13" t="inlineStr">
        <is>
          <t>Basis / note</t>
        </is>
      </c>
    </row>
    <row r="5" ht="18" customHeight="1">
      <c r="A5" s="4" t="inlineStr">
        <is>
          <t>A. COMPANY FORMATION, LICENSING &amp; REGULATORY</t>
        </is>
      </c>
      <c r="B5" s="5" t="n"/>
      <c r="C5" s="5" t="n"/>
      <c r="D5" s="5" t="n"/>
      <c r="E5" s="5" t="n"/>
      <c r="F5" s="5" t="n"/>
      <c r="G5" s="5" t="n"/>
      <c r="H5" s="5" t="n"/>
      <c r="I5" s="5" t="n"/>
      <c r="J5" s="5" t="n"/>
      <c r="K5" s="5" t="n"/>
    </row>
    <row r="6" ht="24" customHeight="1">
      <c r="A6" s="14" t="inlineStr">
        <is>
          <t>A1</t>
        </is>
      </c>
      <c r="B6" s="81" t="inlineStr">
        <is>
          <t>DED trade licence — initial issue (Vacation Homes Rental)</t>
        </is>
      </c>
      <c r="C6" s="95" t="n">
        <v>1</v>
      </c>
      <c r="D6" s="83" t="n">
        <v>13500</v>
      </c>
      <c r="E6" s="83" t="n">
        <v>17500</v>
      </c>
      <c r="F6" s="83" t="n">
        <v>22000</v>
      </c>
      <c r="G6" s="22">
        <f>$C6*D6</f>
        <v>13500</v>
      </c>
      <c r="H6" s="22">
        <f>$C6*E6</f>
        <v>17500</v>
      </c>
      <c r="I6" s="22">
        <f>$C6*F6</f>
        <v>22000</v>
      </c>
      <c r="J6" s="96" t="inlineStr">
        <is>
          <t>Incurred — 03/07/2026</t>
        </is>
      </c>
      <c r="K6" s="21" t="inlineStr">
        <is>
          <t>Mainland LLC commercial licence. Licence No. 1634278 per the Business Profile.</t>
        </is>
      </c>
    </row>
    <row r="7" ht="24" customHeight="1">
      <c r="A7" s="14" t="inlineStr">
        <is>
          <t>A2</t>
        </is>
      </c>
      <c r="B7" s="81" t="inlineStr">
        <is>
          <t>Trade name reservation &amp; initial approval</t>
        </is>
      </c>
      <c r="C7" s="95" t="n">
        <v>1</v>
      </c>
      <c r="D7" s="83" t="n">
        <v>900</v>
      </c>
      <c r="E7" s="83" t="n">
        <v>1200</v>
      </c>
      <c r="F7" s="83" t="n">
        <v>1600</v>
      </c>
      <c r="G7" s="22">
        <f>$C7*D7</f>
        <v>900</v>
      </c>
      <c r="H7" s="22">
        <f>$C7*E7</f>
        <v>1200</v>
      </c>
      <c r="I7" s="22">
        <f>$C7*F7</f>
        <v>1600</v>
      </c>
      <c r="J7" s="96" t="inlineStr">
        <is>
          <t>Incurred — 03/07/2026</t>
        </is>
      </c>
      <c r="K7" s="21" t="inlineStr">
        <is>
          <t>DED fixed fees.</t>
        </is>
      </c>
    </row>
    <row r="8" ht="24" customHeight="1">
      <c r="A8" s="14" t="inlineStr">
        <is>
          <t>A3</t>
        </is>
      </c>
      <c r="B8" s="81" t="inlineStr">
        <is>
          <t>MOA drafting &amp; notarisation</t>
        </is>
      </c>
      <c r="C8" s="95" t="n">
        <v>1</v>
      </c>
      <c r="D8" s="83" t="n">
        <v>1800</v>
      </c>
      <c r="E8" s="83" t="n">
        <v>2500</v>
      </c>
      <c r="F8" s="83" t="n">
        <v>3500</v>
      </c>
      <c r="G8" s="22">
        <f>$C8*D8</f>
        <v>1800</v>
      </c>
      <c r="H8" s="22">
        <f>$C8*E8</f>
        <v>2500</v>
      </c>
      <c r="I8" s="22">
        <f>$C8*F8</f>
        <v>3500</v>
      </c>
      <c r="J8" s="96" t="inlineStr">
        <is>
          <t>Incurred — 03/07/2026</t>
        </is>
      </c>
      <c r="K8" s="21" t="inlineStr">
        <is>
          <t>Three-shareholder structure per the Business Profile (Podocarpus 70% / Atayev 16% / Mamiyev 14%).</t>
        </is>
      </c>
    </row>
    <row r="9" ht="24" customHeight="1">
      <c r="A9" s="14" t="inlineStr">
        <is>
          <t>A4</t>
        </is>
      </c>
      <c r="B9" s="81" t="inlineStr">
        <is>
          <t>Ejari / tenancy registration for the licensed address</t>
        </is>
      </c>
      <c r="C9" s="95" t="n">
        <v>1</v>
      </c>
      <c r="D9" s="83" t="n">
        <v>1500</v>
      </c>
      <c r="E9" s="83" t="n">
        <v>2200</v>
      </c>
      <c r="F9" s="83" t="n">
        <v>3200</v>
      </c>
      <c r="G9" s="22">
        <f>$C9*D9</f>
        <v>1500</v>
      </c>
      <c r="H9" s="22">
        <f>$C9*E9</f>
        <v>2200</v>
      </c>
      <c r="I9" s="22">
        <f>$C9*F9</f>
        <v>3200</v>
      </c>
      <c r="J9" s="96" t="inlineStr">
        <is>
          <t>Incurred — 03/07/2026</t>
        </is>
      </c>
      <c r="K9" s="21" t="inlineStr">
        <is>
          <t>Fronds Building – Office 02, Goze Industrial Third. Required to hold the licence.</t>
        </is>
      </c>
    </row>
    <row r="10" ht="24" customHeight="1">
      <c r="A10" s="14" t="inlineStr">
        <is>
          <t>A5</t>
        </is>
      </c>
      <c r="B10" s="81" t="inlineStr">
        <is>
          <t>Immigration establishment card</t>
        </is>
      </c>
      <c r="C10" s="95" t="n">
        <v>1</v>
      </c>
      <c r="D10" s="83" t="n">
        <v>1000</v>
      </c>
      <c r="E10" s="83" t="n">
        <v>1500</v>
      </c>
      <c r="F10" s="83" t="n">
        <v>2200</v>
      </c>
      <c r="G10" s="22">
        <f>$C10*D10</f>
        <v>1000</v>
      </c>
      <c r="H10" s="22">
        <f>$C10*E10</f>
        <v>1500</v>
      </c>
      <c r="I10" s="22">
        <f>$C10*F10</f>
        <v>2200</v>
      </c>
      <c r="J10" s="96" t="inlineStr">
        <is>
          <t>Month 1</t>
        </is>
      </c>
      <c r="K10" s="21" t="inlineStr">
        <is>
          <t>Required before any employment visa can be issued.</t>
        </is>
      </c>
    </row>
    <row r="11" ht="24" customHeight="1">
      <c r="A11" s="14" t="inlineStr">
        <is>
          <t>A6</t>
        </is>
      </c>
      <c r="B11" s="81" t="inlineStr">
        <is>
          <t>MOHRE labour file / e-Channel registration</t>
        </is>
      </c>
      <c r="C11" s="95" t="n">
        <v>1</v>
      </c>
      <c r="D11" s="83" t="n">
        <v>1600</v>
      </c>
      <c r="E11" s="83" t="n">
        <v>2300</v>
      </c>
      <c r="F11" s="83" t="n">
        <v>3200</v>
      </c>
      <c r="G11" s="22">
        <f>$C11*D11</f>
        <v>1600</v>
      </c>
      <c r="H11" s="22">
        <f>$C11*E11</f>
        <v>2300</v>
      </c>
      <c r="I11" s="22">
        <f>$C11*F11</f>
        <v>3200</v>
      </c>
      <c r="J11" s="96" t="inlineStr">
        <is>
          <t>Month 1</t>
        </is>
      </c>
      <c r="K11" s="21" t="inlineStr">
        <is>
          <t>Needed to sponsor the operations &amp; service staff member.</t>
        </is>
      </c>
    </row>
    <row r="12" ht="24" customHeight="1">
      <c r="A12" s="14" t="inlineStr">
        <is>
          <t>A7</t>
        </is>
      </c>
      <c r="B12" s="81" t="inlineStr">
        <is>
          <t>DET (ex-DTCM) holiday-home OPERATOR permit — company level</t>
        </is>
      </c>
      <c r="C12" s="95" t="n">
        <v>1</v>
      </c>
      <c r="D12" s="83" t="n">
        <v>4500</v>
      </c>
      <c r="E12" s="83" t="n">
        <v>7500</v>
      </c>
      <c r="F12" s="83" t="n">
        <v>12000</v>
      </c>
      <c r="G12" s="22">
        <f>$C12*D12</f>
        <v>4500</v>
      </c>
      <c r="H12" s="22">
        <f>$C12*E12</f>
        <v>7500</v>
      </c>
      <c r="I12" s="22">
        <f>$C12*F12</f>
        <v>12000</v>
      </c>
      <c r="J12" s="96" t="inlineStr">
        <is>
          <t>Month 1</t>
        </is>
      </c>
      <c r="K12" s="21" t="inlineStr">
        <is>
          <t>Distinct from the per-unit permit. Without it the company cannot legally list short-term rentals.</t>
        </is>
      </c>
    </row>
    <row r="13" ht="24" customHeight="1">
      <c r="A13" s="14" t="inlineStr">
        <is>
          <t>A8</t>
        </is>
      </c>
      <c r="B13" s="81" t="inlineStr">
        <is>
          <t>Corporate bank account opening &amp; KYC pack</t>
        </is>
      </c>
      <c r="C13" s="95" t="n">
        <v>1</v>
      </c>
      <c r="D13" s="83" t="n">
        <v>0</v>
      </c>
      <c r="E13" s="83" t="n">
        <v>500</v>
      </c>
      <c r="F13" s="83" t="n">
        <v>1500</v>
      </c>
      <c r="G13" s="22">
        <f>$C13*D13</f>
        <v>0</v>
      </c>
      <c r="H13" s="22">
        <f>$C13*E13</f>
        <v>500</v>
      </c>
      <c r="I13" s="22">
        <f>$C13*F13</f>
        <v>1500</v>
      </c>
      <c r="J13" s="96" t="inlineStr">
        <is>
          <t>Month 1</t>
        </is>
      </c>
      <c r="K13" s="21" t="inlineStr">
        <is>
          <t>Corporate current account, multi-currency AED/USD/EUR per the Business Profile.</t>
        </is>
      </c>
    </row>
    <row r="14" ht="24" customHeight="1">
      <c r="A14" s="14" t="inlineStr">
        <is>
          <t>A9</t>
        </is>
      </c>
      <c r="B14" s="81" t="inlineStr">
        <is>
          <t>VAT registration &amp; Corporate Tax registration</t>
        </is>
      </c>
      <c r="C14" s="95" t="n">
        <v>1</v>
      </c>
      <c r="D14" s="83" t="n">
        <v>0</v>
      </c>
      <c r="E14" s="83" t="n">
        <v>1000</v>
      </c>
      <c r="F14" s="83" t="n">
        <v>2500</v>
      </c>
      <c r="G14" s="22">
        <f>$C14*D14</f>
        <v>0</v>
      </c>
      <c r="H14" s="22">
        <f>$C14*E14</f>
        <v>1000</v>
      </c>
      <c r="I14" s="22">
        <f>$C14*F14</f>
        <v>2500</v>
      </c>
      <c r="J14" s="96" t="inlineStr">
        <is>
          <t>Incurred</t>
        </is>
      </c>
      <c r="K14" s="21" t="inlineStr">
        <is>
          <t>TRN 105507385000001 already issued per the Business Profile. Cost shown for completeness.</t>
        </is>
      </c>
    </row>
    <row r="15" ht="24" customHeight="1">
      <c r="A15" s="14" t="inlineStr">
        <is>
          <t>A10</t>
        </is>
      </c>
      <c r="B15" s="81" t="inlineStr">
        <is>
          <t>Company stamp</t>
        </is>
      </c>
      <c r="C15" s="95" t="n">
        <v>1</v>
      </c>
      <c r="D15" s="28" t="n">
        <v>137</v>
      </c>
      <c r="E15" s="28" t="n">
        <v>137</v>
      </c>
      <c r="F15" s="28" t="n">
        <v>137</v>
      </c>
      <c r="G15" s="22">
        <f>$C15*D15</f>
        <v>137</v>
      </c>
      <c r="H15" s="22">
        <f>$C15*E15</f>
        <v>137</v>
      </c>
      <c r="I15" s="22">
        <f>$C15*F15</f>
        <v>137</v>
      </c>
      <c r="J15" s="96" t="inlineStr">
        <is>
          <t>Incurred</t>
        </is>
      </c>
      <c r="K15" s="21" t="inlineStr">
        <is>
          <t>Actual figure supplied by management — AED 137.</t>
        </is>
      </c>
    </row>
    <row r="16" ht="24" customHeight="1">
      <c r="A16" s="14" t="inlineStr">
        <is>
          <t>A11</t>
        </is>
      </c>
      <c r="B16" s="81" t="inlineStr">
        <is>
          <t>Employment visa — operations &amp; service staff (1 person)</t>
        </is>
      </c>
      <c r="C16" s="95" t="n">
        <v>1</v>
      </c>
      <c r="D16" s="83" t="n">
        <v>4500</v>
      </c>
      <c r="E16" s="83" t="n">
        <v>6000</v>
      </c>
      <c r="F16" s="83" t="n">
        <v>8000</v>
      </c>
      <c r="G16" s="22">
        <f>$C16*D16</f>
        <v>4500</v>
      </c>
      <c r="H16" s="22">
        <f>$C16*E16</f>
        <v>6000</v>
      </c>
      <c r="I16" s="22">
        <f>$C16*F16</f>
        <v>8000</v>
      </c>
      <c r="J16" s="96" t="inlineStr">
        <is>
          <t>Month 1</t>
        </is>
      </c>
      <c r="K16" s="21" t="inlineStr">
        <is>
          <t>Entry permit, status change, medical, Emirates ID, 2-year residence visa.</t>
        </is>
      </c>
    </row>
    <row r="17" ht="24" customHeight="1">
      <c r="A17" s="14" t="inlineStr">
        <is>
          <t>A12</t>
        </is>
      </c>
      <c r="B17" s="81" t="inlineStr">
        <is>
          <t>Refundable labour guarantee / bank guarantee (1 employee)</t>
        </is>
      </c>
      <c r="C17" s="95" t="n">
        <v>1</v>
      </c>
      <c r="D17" s="83" t="n">
        <v>0</v>
      </c>
      <c r="E17" s="83" t="n">
        <v>3000</v>
      </c>
      <c r="F17" s="83" t="n">
        <v>3000</v>
      </c>
      <c r="G17" s="22">
        <f>$C17*D17</f>
        <v>0</v>
      </c>
      <c r="H17" s="22">
        <f>$C17*E17</f>
        <v>3000</v>
      </c>
      <c r="I17" s="22">
        <f>$C17*F17</f>
        <v>3000</v>
      </c>
      <c r="J17" s="96" t="inlineStr">
        <is>
          <t>Month 1</t>
        </is>
      </c>
      <c r="K17" s="21" t="inlineStr">
        <is>
          <t>MOHRE requirement. Refundable, but cash out on day one.</t>
        </is>
      </c>
    </row>
    <row r="18" ht="18" customHeight="1">
      <c r="A18" s="4" t="inlineStr">
        <is>
          <t>B. TECHNOLOGY, PLATFORM &amp; DIGITAL SETUP</t>
        </is>
      </c>
      <c r="B18" s="5" t="n"/>
      <c r="C18" s="5" t="n"/>
      <c r="D18" s="5" t="n"/>
      <c r="E18" s="5" t="n"/>
      <c r="F18" s="5" t="n"/>
      <c r="G18" s="5" t="n"/>
      <c r="H18" s="5" t="n"/>
      <c r="I18" s="5" t="n"/>
      <c r="J18" s="5" t="n"/>
      <c r="K18" s="5" t="n"/>
    </row>
    <row r="19" ht="24" customHeight="1">
      <c r="A19" s="14" t="inlineStr">
        <is>
          <t>B1</t>
        </is>
      </c>
      <c r="B19" s="81" t="inlineStr">
        <is>
          <t>Domain name registration — 3 years</t>
        </is>
      </c>
      <c r="C19" s="95" t="n">
        <v>1</v>
      </c>
      <c r="D19" s="28" t="n">
        <v>387</v>
      </c>
      <c r="E19" s="28" t="n">
        <v>387</v>
      </c>
      <c r="F19" s="28" t="n">
        <v>387</v>
      </c>
      <c r="G19" s="22">
        <f>$C19*D19</f>
        <v>387</v>
      </c>
      <c r="H19" s="22">
        <f>$C19*E19</f>
        <v>387</v>
      </c>
      <c r="I19" s="22">
        <f>$C19*F19</f>
        <v>387</v>
      </c>
      <c r="J19" s="96" t="inlineStr">
        <is>
          <t>Incurred</t>
        </is>
      </c>
      <c r="K19" s="21" t="inlineStr">
        <is>
          <t>Actual figure supplied by management — AED 387 for 3 years.</t>
        </is>
      </c>
    </row>
    <row r="20" ht="24" customHeight="1">
      <c r="A20" s="14" t="inlineStr">
        <is>
          <t>B2</t>
        </is>
      </c>
      <c r="B20" s="81" t="inlineStr">
        <is>
          <t>Website build + direct booking engine</t>
        </is>
      </c>
      <c r="C20" s="95" t="n">
        <v>1</v>
      </c>
      <c r="D20" s="83" t="n">
        <v>7000</v>
      </c>
      <c r="E20" s="83" t="n">
        <v>12000</v>
      </c>
      <c r="F20" s="83" t="n">
        <v>22000</v>
      </c>
      <c r="G20" s="22">
        <f>$C20*D20</f>
        <v>7000</v>
      </c>
      <c r="H20" s="22">
        <f>$C20*E20</f>
        <v>12000</v>
      </c>
      <c r="I20" s="22">
        <f>$C20*F20</f>
        <v>22000</v>
      </c>
      <c r="J20" s="96" t="inlineStr">
        <is>
          <t>Month 1–2</t>
        </is>
      </c>
      <c r="K20" s="21" t="inlineStr">
        <is>
          <t>The Business Profile commits to a direct booking portal. Direct bookings avoid the 15–18% OTA commission, so this pays back fastest of any line here.</t>
        </is>
      </c>
    </row>
    <row r="21" ht="24" customHeight="1">
      <c r="A21" s="14" t="inlineStr">
        <is>
          <t>B3</t>
        </is>
      </c>
      <c r="B21" s="81" t="inlineStr">
        <is>
          <t>PMS / channel manager onboarding &amp; setup fee (Hostaway, Guesty or equivalent)</t>
        </is>
      </c>
      <c r="C21" s="95" t="n">
        <v>1</v>
      </c>
      <c r="D21" s="83" t="n">
        <v>1800</v>
      </c>
      <c r="E21" s="83" t="n">
        <v>3000</v>
      </c>
      <c r="F21" s="83" t="n">
        <v>5500</v>
      </c>
      <c r="G21" s="22">
        <f>$C21*D21</f>
        <v>1800</v>
      </c>
      <c r="H21" s="22">
        <f>$C21*E21</f>
        <v>3000</v>
      </c>
      <c r="I21" s="22">
        <f>$C21*F21</f>
        <v>5500</v>
      </c>
      <c r="J21" s="96" t="inlineStr">
        <is>
          <t>Month 1</t>
        </is>
      </c>
      <c r="K21" s="21" t="inlineStr">
        <is>
          <t>One-off implementation. The recurring per-unit licence sits in OPEX.</t>
        </is>
      </c>
    </row>
    <row r="22" ht="24" customHeight="1">
      <c r="A22" s="14" t="inlineStr">
        <is>
          <t>B4</t>
        </is>
      </c>
      <c r="B22" s="81" t="inlineStr">
        <is>
          <t>Channel account setup &amp; verification (Airbnb, Booking.com, direct)</t>
        </is>
      </c>
      <c r="C22" s="95" t="n">
        <v>1</v>
      </c>
      <c r="D22" s="83" t="n">
        <v>0</v>
      </c>
      <c r="E22" s="83" t="n">
        <v>800</v>
      </c>
      <c r="F22" s="83" t="n">
        <v>1800</v>
      </c>
      <c r="G22" s="22">
        <f>$C22*D22</f>
        <v>0</v>
      </c>
      <c r="H22" s="22">
        <f>$C22*E22</f>
        <v>800</v>
      </c>
      <c r="I22" s="22">
        <f>$C22*F22</f>
        <v>1800</v>
      </c>
      <c r="J22" s="96" t="inlineStr">
        <is>
          <t>Month 1</t>
        </is>
      </c>
      <c r="K22" s="21" t="inlineStr">
        <is>
          <t>Account verification, payout setup, listing template build.</t>
        </is>
      </c>
    </row>
    <row r="23" ht="24" customHeight="1">
      <c r="A23" s="14" t="inlineStr">
        <is>
          <t>B5</t>
        </is>
      </c>
      <c r="B23" s="81" t="inlineStr">
        <is>
          <t>Business email, Google Workspace &amp; cloud drive setup</t>
        </is>
      </c>
      <c r="C23" s="95" t="n">
        <v>1</v>
      </c>
      <c r="D23" s="83" t="n">
        <v>300</v>
      </c>
      <c r="E23" s="83" t="n">
        <v>600</v>
      </c>
      <c r="F23" s="83" t="n">
        <v>1200</v>
      </c>
      <c r="G23" s="22">
        <f>$C23*D23</f>
        <v>300</v>
      </c>
      <c r="H23" s="22">
        <f>$C23*E23</f>
        <v>600</v>
      </c>
      <c r="I23" s="22">
        <f>$C23*F23</f>
        <v>1200</v>
      </c>
      <c r="J23" s="96" t="inlineStr">
        <is>
          <t>Month 1</t>
        </is>
      </c>
      <c r="K23" s="21" t="inlineStr">
        <is>
          <t>One-off configuration. Seat licences are OPEX.</t>
        </is>
      </c>
    </row>
    <row r="24" ht="24" customHeight="1">
      <c r="A24" s="14" t="inlineStr">
        <is>
          <t>B6</t>
        </is>
      </c>
      <c r="B24" s="81" t="inlineStr">
        <is>
          <t>Accounting system setup &amp; chart of accounts (Zoho Books / Xero)</t>
        </is>
      </c>
      <c r="C24" s="95" t="n">
        <v>1</v>
      </c>
      <c r="D24" s="83" t="n">
        <v>800</v>
      </c>
      <c r="E24" s="83" t="n">
        <v>1500</v>
      </c>
      <c r="F24" s="83" t="n">
        <v>3000</v>
      </c>
      <c r="G24" s="22">
        <f>$C24*D24</f>
        <v>800</v>
      </c>
      <c r="H24" s="22">
        <f>$C24*E24</f>
        <v>1500</v>
      </c>
      <c r="I24" s="22">
        <f>$C24*F24</f>
        <v>3000</v>
      </c>
      <c r="J24" s="96" t="inlineStr">
        <is>
          <t>Month 1</t>
        </is>
      </c>
      <c r="K24" s="21" t="inlineStr">
        <is>
          <t>VAT-compliant chart of accounts. Doing this properly now avoids a costly first-audit clean-up.</t>
        </is>
      </c>
    </row>
    <row r="25" ht="24" customHeight="1">
      <c r="A25" s="14" t="inlineStr">
        <is>
          <t>B7</t>
        </is>
      </c>
      <c r="B25" s="81" t="inlineStr">
        <is>
          <t>AI workspace setup — prompt library, SOP automation, guest-messaging templates</t>
        </is>
      </c>
      <c r="C25" s="95" t="n">
        <v>1</v>
      </c>
      <c r="D25" s="83" t="n">
        <v>0</v>
      </c>
      <c r="E25" s="83" t="n">
        <v>1500</v>
      </c>
      <c r="F25" s="83" t="n">
        <v>4000</v>
      </c>
      <c r="G25" s="22">
        <f>$C25*D25</f>
        <v>0</v>
      </c>
      <c r="H25" s="22">
        <f>$C25*E25</f>
        <v>1500</v>
      </c>
      <c r="I25" s="22">
        <f>$C25*F25</f>
        <v>4000</v>
      </c>
      <c r="J25" s="96" t="inlineStr">
        <is>
          <t>Month 1–2</t>
        </is>
      </c>
      <c r="K25" s="21" t="inlineStr">
        <is>
          <t>One-off build of the AI operating layer. The recurring subscription cost sits in OPEX per management item 5.</t>
        </is>
      </c>
    </row>
    <row r="26" ht="18" customHeight="1">
      <c r="A26" s="4" t="inlineStr">
        <is>
          <t>C. BRAND &amp; MARKETING SETUP</t>
        </is>
      </c>
      <c r="B26" s="5" t="n"/>
      <c r="C26" s="5" t="n"/>
      <c r="D26" s="5" t="n"/>
      <c r="E26" s="5" t="n"/>
      <c r="F26" s="5" t="n"/>
      <c r="G26" s="5" t="n"/>
      <c r="H26" s="5" t="n"/>
      <c r="I26" s="5" t="n"/>
      <c r="J26" s="5" t="n"/>
      <c r="K26" s="5" t="n"/>
    </row>
    <row r="27" ht="24" customHeight="1">
      <c r="A27" s="14" t="inlineStr">
        <is>
          <t>C1</t>
        </is>
      </c>
      <c r="B27" s="81" t="inlineStr">
        <is>
          <t>Brand identity — logo, typography, Japanese-inspired visual system</t>
        </is>
      </c>
      <c r="C27" s="95" t="n">
        <v>1</v>
      </c>
      <c r="D27" s="83" t="n">
        <v>2500</v>
      </c>
      <c r="E27" s="83" t="n">
        <v>4500</v>
      </c>
      <c r="F27" s="83" t="n">
        <v>9000</v>
      </c>
      <c r="G27" s="22">
        <f>$C27*D27</f>
        <v>2500</v>
      </c>
      <c r="H27" s="22">
        <f>$C27*E27</f>
        <v>4500</v>
      </c>
      <c r="I27" s="22">
        <f>$C27*F27</f>
        <v>9000</v>
      </c>
      <c r="J27" s="96" t="inlineStr">
        <is>
          <t>Month 1</t>
        </is>
      </c>
      <c r="K27" s="21" t="inlineStr">
        <is>
          <t>Supports the Ma / Shibui / Bushido / Wabi-Sabi brand philosophy in the Business Profile.</t>
        </is>
      </c>
    </row>
    <row r="28" ht="24" customHeight="1">
      <c r="A28" s="14" t="inlineStr">
        <is>
          <t>C2</t>
        </is>
      </c>
      <c r="B28" s="81" t="inlineStr">
        <is>
          <t>Brand photography &amp; short-form video (company level, not per unit)</t>
        </is>
      </c>
      <c r="C28" s="95" t="n">
        <v>1</v>
      </c>
      <c r="D28" s="83" t="n">
        <v>2000</v>
      </c>
      <c r="E28" s="83" t="n">
        <v>3500</v>
      </c>
      <c r="F28" s="83" t="n">
        <v>7000</v>
      </c>
      <c r="G28" s="22">
        <f>$C28*D28</f>
        <v>2000</v>
      </c>
      <c r="H28" s="22">
        <f>$C28*E28</f>
        <v>3500</v>
      </c>
      <c r="I28" s="22">
        <f>$C28*F28</f>
        <v>7000</v>
      </c>
      <c r="J28" s="96" t="inlineStr">
        <is>
          <t>Month 1–2</t>
        </is>
      </c>
      <c r="K28" s="21" t="inlineStr">
        <is>
          <t>Used across the website, OTA profile and owner pitch deck.</t>
        </is>
      </c>
    </row>
    <row r="29" ht="24" customHeight="1">
      <c r="A29" s="14" t="inlineStr">
        <is>
          <t>C3</t>
        </is>
      </c>
      <c r="B29" s="81" t="inlineStr">
        <is>
          <t>Owner acquisition pitch deck &amp; management-contract pack</t>
        </is>
      </c>
      <c r="C29" s="95" t="n">
        <v>1</v>
      </c>
      <c r="D29" s="83" t="n">
        <v>800</v>
      </c>
      <c r="E29" s="83" t="n">
        <v>1800</v>
      </c>
      <c r="F29" s="83" t="n">
        <v>3500</v>
      </c>
      <c r="G29" s="22">
        <f>$C29*D29</f>
        <v>800</v>
      </c>
      <c r="H29" s="22">
        <f>$C29*E29</f>
        <v>1800</v>
      </c>
      <c r="I29" s="22">
        <f>$C29*F29</f>
        <v>3500</v>
      </c>
      <c r="J29" s="96" t="inlineStr">
        <is>
          <t>Month 1</t>
        </is>
      </c>
      <c r="K29" s="21" t="inlineStr">
        <is>
          <t>The core sales asset for the marketing team in both Option 1 and Option 2.</t>
        </is>
      </c>
    </row>
    <row r="30" ht="24" customHeight="1">
      <c r="A30" s="14" t="inlineStr">
        <is>
          <t>C4</t>
        </is>
      </c>
      <c r="B30" s="81" t="inlineStr">
        <is>
          <t>Printed collateral, business cards, owner welcome pack</t>
        </is>
      </c>
      <c r="C30" s="95" t="n">
        <v>1</v>
      </c>
      <c r="D30" s="83" t="n">
        <v>400</v>
      </c>
      <c r="E30" s="83" t="n">
        <v>900</v>
      </c>
      <c r="F30" s="83" t="n">
        <v>1800</v>
      </c>
      <c r="G30" s="22">
        <f>$C30*D30</f>
        <v>400</v>
      </c>
      <c r="H30" s="22">
        <f>$C30*E30</f>
        <v>900</v>
      </c>
      <c r="I30" s="22">
        <f>$C30*F30</f>
        <v>1800</v>
      </c>
      <c r="J30" s="96" t="inlineStr">
        <is>
          <t>Month 1</t>
        </is>
      </c>
      <c r="K30" s="21" t="inlineStr"/>
    </row>
    <row r="31" ht="24" customHeight="1">
      <c r="A31" s="14" t="inlineStr">
        <is>
          <t>C5</t>
        </is>
      </c>
      <c r="B31" s="81" t="inlineStr">
        <is>
          <t>Social media profile setup &amp; launch content batch</t>
        </is>
      </c>
      <c r="C31" s="95" t="n">
        <v>1</v>
      </c>
      <c r="D31" s="83" t="n">
        <v>500</v>
      </c>
      <c r="E31" s="83" t="n">
        <v>1200</v>
      </c>
      <c r="F31" s="83" t="n">
        <v>2500</v>
      </c>
      <c r="G31" s="22">
        <f>$C31*D31</f>
        <v>500</v>
      </c>
      <c r="H31" s="22">
        <f>$C31*E31</f>
        <v>1200</v>
      </c>
      <c r="I31" s="22">
        <f>$C31*F31</f>
        <v>2500</v>
      </c>
      <c r="J31" s="96" t="inlineStr">
        <is>
          <t>Month 1</t>
        </is>
      </c>
      <c r="K31" s="21" t="inlineStr"/>
    </row>
    <row r="32" ht="18" customHeight="1">
      <c r="A32" s="4" t="inlineStr">
        <is>
          <t>D. OFFICE EQUIPMENT &amp; FURNITURE (DUBAI)</t>
        </is>
      </c>
      <c r="B32" s="5" t="n"/>
      <c r="C32" s="5" t="n"/>
      <c r="D32" s="5" t="n"/>
      <c r="E32" s="5" t="n"/>
      <c r="F32" s="5" t="n"/>
      <c r="G32" s="5" t="n"/>
      <c r="H32" s="5" t="n"/>
      <c r="I32" s="5" t="n"/>
      <c r="J32" s="5" t="n"/>
      <c r="K32" s="5" t="n"/>
    </row>
    <row r="33" ht="24" customHeight="1">
      <c r="A33" s="14" t="inlineStr">
        <is>
          <t>D1</t>
        </is>
      </c>
      <c r="B33" s="81" t="inlineStr">
        <is>
          <t>Laptop — operations</t>
        </is>
      </c>
      <c r="C33" s="95" t="n">
        <v>2</v>
      </c>
      <c r="D33" s="83" t="n">
        <v>2800</v>
      </c>
      <c r="E33" s="83" t="n">
        <v>3800</v>
      </c>
      <c r="F33" s="83" t="n">
        <v>5500</v>
      </c>
      <c r="G33" s="22">
        <f>$C33*D33</f>
        <v>5600</v>
      </c>
      <c r="H33" s="22">
        <f>$C33*E33</f>
        <v>7600</v>
      </c>
      <c r="I33" s="22">
        <f>$C33*F33</f>
        <v>11000</v>
      </c>
      <c r="J33" s="96" t="inlineStr">
        <is>
          <t>Month 1</t>
        </is>
      </c>
      <c r="K33" s="21" t="inlineStr">
        <is>
          <t>One for the operations &amp; service staff member, one for management.</t>
        </is>
      </c>
    </row>
    <row r="34" ht="24" customHeight="1">
      <c r="A34" s="14" t="inlineStr">
        <is>
          <t>D2</t>
        </is>
      </c>
      <c r="B34" s="81" t="inlineStr">
        <is>
          <t>Mobile handset — dedicated 24/7 guest support line</t>
        </is>
      </c>
      <c r="C34" s="95" t="n">
        <v>1</v>
      </c>
      <c r="D34" s="83" t="n">
        <v>1200</v>
      </c>
      <c r="E34" s="83" t="n">
        <v>1900</v>
      </c>
      <c r="F34" s="83" t="n">
        <v>3200</v>
      </c>
      <c r="G34" s="22">
        <f>$C34*D34</f>
        <v>1200</v>
      </c>
      <c r="H34" s="22">
        <f>$C34*E34</f>
        <v>1900</v>
      </c>
      <c r="I34" s="22">
        <f>$C34*F34</f>
        <v>3200</v>
      </c>
      <c r="J34" s="96" t="inlineStr">
        <is>
          <t>Month 1</t>
        </is>
      </c>
      <c r="K34" s="21" t="inlineStr">
        <is>
          <t>The Business Profile promises 24/7 guest support. It needs its own line and device.</t>
        </is>
      </c>
    </row>
    <row r="35" ht="24" customHeight="1">
      <c r="A35" s="14" t="inlineStr">
        <is>
          <t>D3</t>
        </is>
      </c>
      <c r="B35" s="81" t="inlineStr">
        <is>
          <t>Printer / scanner (contracts, DET paperwork)</t>
        </is>
      </c>
      <c r="C35" s="95" t="n">
        <v>1</v>
      </c>
      <c r="D35" s="83" t="n">
        <v>500</v>
      </c>
      <c r="E35" s="83" t="n">
        <v>850</v>
      </c>
      <c r="F35" s="83" t="n">
        <v>1500</v>
      </c>
      <c r="G35" s="22">
        <f>$C35*D35</f>
        <v>500</v>
      </c>
      <c r="H35" s="22">
        <f>$C35*E35</f>
        <v>850</v>
      </c>
      <c r="I35" s="22">
        <f>$C35*F35</f>
        <v>1500</v>
      </c>
      <c r="J35" s="96" t="inlineStr">
        <is>
          <t>Month 1</t>
        </is>
      </c>
      <c r="K35" s="21" t="inlineStr"/>
    </row>
    <row r="36" ht="24" customHeight="1">
      <c r="A36" s="14" t="inlineStr">
        <is>
          <t>D4</t>
        </is>
      </c>
      <c r="B36" s="81" t="inlineStr">
        <is>
          <t>Office desk, chairs &amp; storage</t>
        </is>
      </c>
      <c r="C36" s="95" t="n">
        <v>1</v>
      </c>
      <c r="D36" s="83" t="n">
        <v>1800</v>
      </c>
      <c r="E36" s="83" t="n">
        <v>3200</v>
      </c>
      <c r="F36" s="83" t="n">
        <v>6000</v>
      </c>
      <c r="G36" s="22">
        <f>$C36*D36</f>
        <v>1800</v>
      </c>
      <c r="H36" s="22">
        <f>$C36*E36</f>
        <v>3200</v>
      </c>
      <c r="I36" s="22">
        <f>$C36*F36</f>
        <v>6000</v>
      </c>
      <c r="J36" s="96" t="inlineStr">
        <is>
          <t>Month 1</t>
        </is>
      </c>
      <c r="K36" s="21" t="inlineStr"/>
    </row>
    <row r="37" ht="24" customHeight="1">
      <c r="A37" s="14" t="inlineStr">
        <is>
          <t>D5</t>
        </is>
      </c>
      <c r="B37" s="81" t="inlineStr">
        <is>
          <t>Key-safe cabinet &amp; spare-key management system</t>
        </is>
      </c>
      <c r="C37" s="95" t="n">
        <v>1</v>
      </c>
      <c r="D37" s="83" t="n">
        <v>500</v>
      </c>
      <c r="E37" s="83" t="n">
        <v>900</v>
      </c>
      <c r="F37" s="83" t="n">
        <v>1600</v>
      </c>
      <c r="G37" s="22">
        <f>$C37*D37</f>
        <v>500</v>
      </c>
      <c r="H37" s="22">
        <f>$C37*E37</f>
        <v>900</v>
      </c>
      <c r="I37" s="22">
        <f>$C37*F37</f>
        <v>1600</v>
      </c>
      <c r="J37" s="96" t="inlineStr">
        <is>
          <t>Month 1</t>
        </is>
      </c>
      <c r="K37" s="21" t="inlineStr">
        <is>
          <t>Physical key control across a multi-unit portfolio. An audit point for owners.</t>
        </is>
      </c>
    </row>
    <row r="38" ht="24" customHeight="1">
      <c r="A38" s="14" t="inlineStr">
        <is>
          <t>D6</t>
        </is>
      </c>
      <c r="B38" s="81" t="inlineStr">
        <is>
          <t>Router, networking &amp; basic office IT</t>
        </is>
      </c>
      <c r="C38" s="95" t="n">
        <v>1</v>
      </c>
      <c r="D38" s="83" t="n">
        <v>300</v>
      </c>
      <c r="E38" s="83" t="n">
        <v>550</v>
      </c>
      <c r="F38" s="83" t="n">
        <v>1000</v>
      </c>
      <c r="G38" s="22">
        <f>$C38*D38</f>
        <v>300</v>
      </c>
      <c r="H38" s="22">
        <f>$C38*E38</f>
        <v>550</v>
      </c>
      <c r="I38" s="22">
        <f>$C38*F38</f>
        <v>1000</v>
      </c>
      <c r="J38" s="96" t="inlineStr">
        <is>
          <t>Month 1</t>
        </is>
      </c>
      <c r="K38" s="21" t="inlineStr"/>
    </row>
    <row r="39" ht="18" customHeight="1">
      <c r="A39" s="4" t="inlineStr">
        <is>
          <t>E. DEPOSITS &amp; PREPAYMENTS</t>
        </is>
      </c>
      <c r="B39" s="5" t="n"/>
      <c r="C39" s="5" t="n"/>
      <c r="D39" s="5" t="n"/>
      <c r="E39" s="5" t="n"/>
      <c r="F39" s="5" t="n"/>
      <c r="G39" s="5" t="n"/>
      <c r="H39" s="5" t="n"/>
      <c r="I39" s="5" t="n"/>
      <c r="J39" s="5" t="n"/>
      <c r="K39" s="5" t="n"/>
    </row>
    <row r="40" ht="24" customHeight="1">
      <c r="A40" s="14" t="inlineStr">
        <is>
          <t>E1</t>
        </is>
      </c>
      <c r="B40" s="81" t="inlineStr">
        <is>
          <t>Office rent security deposit (refundable)</t>
        </is>
      </c>
      <c r="C40" s="95" t="n">
        <v>1</v>
      </c>
      <c r="D40" s="83" t="n">
        <v>2500</v>
      </c>
      <c r="E40" s="83" t="n">
        <v>5000</v>
      </c>
      <c r="F40" s="83" t="n">
        <v>9000</v>
      </c>
      <c r="G40" s="22">
        <f>$C40*D40</f>
        <v>2500</v>
      </c>
      <c r="H40" s="22">
        <f>$C40*E40</f>
        <v>5000</v>
      </c>
      <c r="I40" s="22">
        <f>$C40*F40</f>
        <v>9000</v>
      </c>
      <c r="J40" s="96" t="inlineStr">
        <is>
          <t>Month 1</t>
        </is>
      </c>
      <c r="K40" s="21" t="inlineStr">
        <is>
          <t>Refundable at lease end. Cash out on day one.</t>
        </is>
      </c>
    </row>
    <row r="41" ht="24" customHeight="1">
      <c r="A41" s="14" t="inlineStr">
        <is>
          <t>E2</t>
        </is>
      </c>
      <c r="B41" s="81" t="inlineStr">
        <is>
          <t>DEWA office connection deposit (refundable)</t>
        </is>
      </c>
      <c r="C41" s="95" t="n">
        <v>1</v>
      </c>
      <c r="D41" s="83" t="n">
        <v>1000</v>
      </c>
      <c r="E41" s="83" t="n">
        <v>2000</v>
      </c>
      <c r="F41" s="83" t="n">
        <v>3500</v>
      </c>
      <c r="G41" s="22">
        <f>$C41*D41</f>
        <v>1000</v>
      </c>
      <c r="H41" s="22">
        <f>$C41*E41</f>
        <v>2000</v>
      </c>
      <c r="I41" s="22">
        <f>$C41*F41</f>
        <v>3500</v>
      </c>
      <c r="J41" s="96" t="inlineStr">
        <is>
          <t>Month 1</t>
        </is>
      </c>
      <c r="K41" s="21" t="inlineStr">
        <is>
          <t>Refundable.</t>
        </is>
      </c>
    </row>
    <row r="42" ht="36" customHeight="1">
      <c r="A42" s="14" t="inlineStr">
        <is>
          <t>E3</t>
        </is>
      </c>
      <c r="B42" s="81" t="inlineStr">
        <is>
          <t>Public liability &amp; professional indemnity — first-year premium prepayment</t>
        </is>
      </c>
      <c r="C42" s="95" t="n">
        <v>1</v>
      </c>
      <c r="D42" s="83" t="n">
        <v>1500</v>
      </c>
      <c r="E42" s="83" t="n">
        <v>2800</v>
      </c>
      <c r="F42" s="83" t="n">
        <v>5000</v>
      </c>
      <c r="G42" s="22">
        <f>$C42*D42</f>
        <v>1500</v>
      </c>
      <c r="H42" s="22">
        <f>$C42*E42</f>
        <v>2800</v>
      </c>
      <c r="I42" s="22">
        <f>$C42*F42</f>
        <v>5000</v>
      </c>
      <c r="J42" s="96" t="inlineStr">
        <is>
          <t>Month 1</t>
        </is>
      </c>
      <c r="K42" s="21" t="inlineStr">
        <is>
          <t>Insurers commonly require the first year up front. The ongoing accrual also appears in OPEX — do not double-count when consolidating; treat this as the timing of the cash, not an extra cost.</t>
        </is>
      </c>
    </row>
    <row r="44">
      <c r="A44" s="4" t="inlineStr">
        <is>
          <t>TOTALS</t>
        </is>
      </c>
      <c r="B44" s="5" t="n"/>
      <c r="C44" s="5" t="n"/>
      <c r="D44" s="5" t="n"/>
      <c r="E44" s="5" t="n"/>
      <c r="F44" s="5" t="n"/>
      <c r="G44" s="5" t="n"/>
      <c r="H44" s="5" t="n"/>
      <c r="I44" s="5" t="n"/>
      <c r="J44" s="5" t="n"/>
      <c r="K44" s="5" t="n"/>
    </row>
    <row r="45">
      <c r="A45" s="17" t="n"/>
      <c r="B45" s="20" t="inlineStr">
        <is>
          <t>A. COMPANY FORMATION, LICENSING &amp; REGULATORY</t>
        </is>
      </c>
      <c r="C45" s="17" t="n"/>
      <c r="D45" s="17" t="n"/>
      <c r="E45" s="17" t="n"/>
      <c r="F45" s="17" t="n"/>
      <c r="G45" s="25">
        <f>SUM(G6:G17)</f>
        <v>29437</v>
      </c>
      <c r="H45" s="25">
        <f>SUM(H6:H17)</f>
        <v>45337</v>
      </c>
      <c r="I45" s="25">
        <f>SUM(I6:I17)</f>
        <v>62837</v>
      </c>
      <c r="J45" s="17" t="n"/>
      <c r="K45" s="17" t="n"/>
    </row>
    <row r="46">
      <c r="A46" s="17" t="n"/>
      <c r="B46" s="20" t="inlineStr">
        <is>
          <t>B. TECHNOLOGY, PLATFORM &amp; DIGITAL SETUP</t>
        </is>
      </c>
      <c r="C46" s="17" t="n"/>
      <c r="D46" s="17" t="n"/>
      <c r="E46" s="17" t="n"/>
      <c r="F46" s="17" t="n"/>
      <c r="G46" s="25">
        <f>SUM(G19:G25)</f>
        <v>10287</v>
      </c>
      <c r="H46" s="25">
        <f>SUM(H19:H25)</f>
        <v>19787</v>
      </c>
      <c r="I46" s="25">
        <f>SUM(I19:I25)</f>
        <v>37887</v>
      </c>
      <c r="J46" s="17" t="n"/>
      <c r="K46" s="17" t="n"/>
    </row>
    <row r="47">
      <c r="A47" s="17" t="n"/>
      <c r="B47" s="20" t="inlineStr">
        <is>
          <t>C. BRAND &amp; MARKETING SETUP</t>
        </is>
      </c>
      <c r="C47" s="17" t="n"/>
      <c r="D47" s="17" t="n"/>
      <c r="E47" s="17" t="n"/>
      <c r="F47" s="17" t="n"/>
      <c r="G47" s="25">
        <f>SUM(G27:G31)</f>
        <v>6200</v>
      </c>
      <c r="H47" s="25">
        <f>SUM(H27:H31)</f>
        <v>11900</v>
      </c>
      <c r="I47" s="25">
        <f>SUM(I27:I31)</f>
        <v>23800</v>
      </c>
      <c r="J47" s="17" t="n"/>
      <c r="K47" s="17" t="n"/>
    </row>
    <row r="48">
      <c r="A48" s="17" t="n"/>
      <c r="B48" s="20" t="inlineStr">
        <is>
          <t>D. OFFICE EQUIPMENT &amp; FURNITURE (DUBAI)</t>
        </is>
      </c>
      <c r="C48" s="17" t="n"/>
      <c r="D48" s="17" t="n"/>
      <c r="E48" s="17" t="n"/>
      <c r="F48" s="17" t="n"/>
      <c r="G48" s="25">
        <f>SUM(G33:G38)</f>
        <v>9900</v>
      </c>
      <c r="H48" s="25">
        <f>SUM(H33:H38)</f>
        <v>15000</v>
      </c>
      <c r="I48" s="25">
        <f>SUM(I33:I38)</f>
        <v>24300</v>
      </c>
      <c r="J48" s="17" t="n"/>
      <c r="K48" s="17" t="n"/>
    </row>
    <row r="49">
      <c r="A49" s="17" t="n"/>
      <c r="B49" s="20" t="inlineStr">
        <is>
          <t>E. DEPOSITS &amp; PREPAYMENTS</t>
        </is>
      </c>
      <c r="C49" s="17" t="n"/>
      <c r="D49" s="17" t="n"/>
      <c r="E49" s="17" t="n"/>
      <c r="F49" s="17" t="n"/>
      <c r="G49" s="25">
        <f>SUM(G40:G42)</f>
        <v>5000</v>
      </c>
      <c r="H49" s="25">
        <f>SUM(H40:H42)</f>
        <v>9800</v>
      </c>
      <c r="I49" s="25">
        <f>SUM(I40:I42)</f>
        <v>17500</v>
      </c>
      <c r="J49" s="17" t="n"/>
      <c r="K49" s="17" t="n"/>
    </row>
    <row r="50">
      <c r="A50" s="30" t="n"/>
      <c r="B50" s="29" t="inlineStr">
        <is>
          <t>SUBTOTAL — company setup (excl. unit setup)</t>
        </is>
      </c>
      <c r="C50" s="30" t="n"/>
      <c r="D50" s="30" t="n"/>
      <c r="E50" s="30" t="n"/>
      <c r="F50" s="30" t="n"/>
      <c r="G50" s="31">
        <f>G45+G46+G47+G48+G49</f>
        <v>60824</v>
      </c>
      <c r="H50" s="31">
        <f>H45+H46+H47+H48+H49</f>
        <v>101824</v>
      </c>
      <c r="I50" s="31">
        <f>I45+I46+I47+I48+I49</f>
        <v>166324</v>
      </c>
      <c r="J50" s="30" t="n"/>
      <c r="K50" s="30" t="n"/>
    </row>
    <row r="51">
      <c r="B51" s="8" t="inlineStr">
        <is>
          <t>Unit setup CAPEX — 1 unit</t>
        </is>
      </c>
      <c r="G51" s="97">
        <f>'Unit Setup (1 Unit)'!D17</f>
        <v>6105</v>
      </c>
      <c r="H51" s="97">
        <f>'Unit Setup (1 Unit)'!E17</f>
        <v>9152</v>
      </c>
      <c r="I51" s="97">
        <f>'Unit Setup (1 Unit)'!F17</f>
        <v>13640</v>
      </c>
      <c r="K51" s="62" t="inlineStr">
        <is>
          <t>Links to 'Unit Setup (1 Unit)'. Per management, sized for one unit only.</t>
        </is>
      </c>
    </row>
    <row r="52">
      <c r="B52" s="79" t="inlineStr">
        <is>
          <t>Contingency on company setup</t>
        </is>
      </c>
      <c r="C52" s="98" t="n">
        <v>0.1</v>
      </c>
      <c r="G52" s="99">
        <f>G50*$C$52</f>
        <v>6082.400000000001</v>
      </c>
      <c r="H52" s="99">
        <f>H50*$C$52</f>
        <v>10182.400000000001</v>
      </c>
      <c r="I52" s="99">
        <f>I50*$C$52</f>
        <v>16632.4</v>
      </c>
      <c r="K52" s="62" t="inlineStr">
        <is>
          <t>Unit-setup contingency is already applied on its own tab — not double-counted here.</t>
        </is>
      </c>
    </row>
    <row r="53" ht="20" customHeight="1">
      <c r="A53" s="5" t="n"/>
      <c r="B53" s="18" t="inlineStr">
        <is>
          <t>TOTAL CAPEX REQUIRED</t>
        </is>
      </c>
      <c r="C53" s="5" t="n"/>
      <c r="D53" s="5" t="n"/>
      <c r="E53" s="5" t="n"/>
      <c r="F53" s="5" t="n"/>
      <c r="G53" s="19">
        <f>G50+G51+G52</f>
        <v>73011.4</v>
      </c>
      <c r="H53" s="19">
        <f>H50+H51+H52</f>
        <v>121158.4</v>
      </c>
      <c r="I53" s="19">
        <f>I50+I51+I52</f>
        <v>196596.4</v>
      </c>
      <c r="J53" s="5" t="n"/>
      <c r="K53" s="5" t="n"/>
    </row>
    <row r="55">
      <c r="B55" s="100" t="inlineStr">
        <is>
          <t>MEMO — not CAPEX</t>
        </is>
      </c>
    </row>
    <row r="56" ht="26" customHeight="1">
      <c r="B56" s="79" t="inlineStr">
        <is>
          <t>Bank minimum / average balance requirement (blocked, not a cost)</t>
        </is>
      </c>
      <c r="G56" s="101" t="n">
        <v>25000</v>
      </c>
      <c r="H56" s="101" t="n">
        <v>50000</v>
      </c>
      <c r="I56" s="101" t="n">
        <v>150000</v>
      </c>
      <c r="K56" s="102" t="inlineStr">
        <is>
          <t>UAE corporate accounts typically require an average balance of AED 25k–150k depending on the bank. It is a blocked asset, not expenditure — excluded from the CAPEX total above.</t>
        </is>
      </c>
    </row>
    <row r="57">
      <c r="B57" s="79" t="inlineStr">
        <is>
          <t>Refundable deposits included above (E1, E2, A12)</t>
        </is>
      </c>
      <c r="G57" s="99">
        <f>G17+G40+G41</f>
        <v>3500</v>
      </c>
      <c r="H57" s="99">
        <f>H17+H40+H41</f>
        <v>10000</v>
      </c>
      <c r="I57" s="99">
        <f>I17+I40+I41</f>
        <v>15500</v>
      </c>
      <c r="K57" s="102" t="inlineStr">
        <is>
          <t>Cash out on day one but recoverable. Useful for the bank when distinguishing sunk cost from working capital.</t>
        </is>
      </c>
    </row>
  </sheetData>
  <mergeCells count="8">
    <mergeCell ref="A1:J1"/>
    <mergeCell ref="A18:K18"/>
    <mergeCell ref="A26:K26"/>
    <mergeCell ref="A39:K39"/>
    <mergeCell ref="A32:K32"/>
    <mergeCell ref="A2:J2"/>
    <mergeCell ref="A44:K44"/>
    <mergeCell ref="A5:K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showGridLines="0" workbookViewId="0">
      <pane ySplit="4" topLeftCell="A5" activePane="bottomLeft" state="frozen"/>
      <selection pane="bottomLeft" activeCell="A1" sqref="A1"/>
    </sheetView>
  </sheetViews>
  <sheetFormatPr baseColWidth="8" defaultRowHeight="15"/>
  <cols>
    <col width="7" customWidth="1" min="1" max="1"/>
    <col width="56" customWidth="1" min="2" max="2"/>
    <col width="8" customWidth="1" min="3" max="3"/>
    <col width="15" customWidth="1" min="4" max="4"/>
    <col width="15" customWidth="1" min="5" max="5"/>
    <col width="15" customWidth="1" min="6" max="6"/>
    <col width="15" customWidth="1" min="7" max="7"/>
    <col width="62" customWidth="1" min="8" max="8"/>
  </cols>
  <sheetData>
    <row r="1" ht="26" customHeight="1">
      <c r="A1" s="1" t="inlineStr">
        <is>
          <t>UNIT SETUP CAPEX — COST TO BRING ONE UNIT LIVE</t>
        </is>
      </c>
      <c r="B1" s="2" t="n"/>
      <c r="C1" s="2" t="n"/>
      <c r="D1" s="2" t="n"/>
      <c r="E1" s="2" t="n"/>
      <c r="F1" s="2" t="n"/>
      <c r="G1" s="2" t="n"/>
      <c r="H1" s="2" t="n"/>
    </row>
    <row r="2" ht="16" customHeight="1">
      <c r="A2" s="3" t="inlineStr">
        <is>
          <t>Commission-only model: the owner supplies the furnished apartment. Orizuru funds only the operating layer.</t>
        </is>
      </c>
      <c r="B2" s="2" t="n"/>
      <c r="C2" s="2" t="n"/>
      <c r="D2" s="2" t="n"/>
      <c r="E2" s="2" t="n"/>
      <c r="F2" s="2" t="n"/>
      <c r="G2" s="2" t="n"/>
      <c r="H2" s="2" t="n"/>
    </row>
    <row r="4" ht="30" customHeight="1">
      <c r="A4" s="13" t="inlineStr">
        <is>
          <t>Ref</t>
        </is>
      </c>
      <c r="B4" s="13" t="inlineStr">
        <is>
          <t>Line item</t>
        </is>
      </c>
      <c r="C4" s="13" t="inlineStr">
        <is>
          <t>Qty</t>
        </is>
      </c>
      <c r="D4" s="13" t="inlineStr">
        <is>
          <t>Unit cost — Low</t>
        </is>
      </c>
      <c r="E4" s="13" t="inlineStr">
        <is>
          <t>Unit cost — Base</t>
        </is>
      </c>
      <c r="F4" s="13" t="inlineStr">
        <is>
          <t>Unit cost — High</t>
        </is>
      </c>
      <c r="G4" s="13" t="inlineStr">
        <is>
          <t>Total — Base</t>
        </is>
      </c>
      <c r="H4" s="13" t="inlineStr">
        <is>
          <t>Basis / note</t>
        </is>
      </c>
    </row>
    <row r="5" ht="26" customHeight="1">
      <c r="A5" s="14" t="inlineStr">
        <is>
          <t>U1</t>
        </is>
      </c>
      <c r="B5" s="14" t="inlineStr">
        <is>
          <t>DET holiday-home permit — first issue (per unit, per year)</t>
        </is>
      </c>
      <c r="C5" s="95" t="n">
        <v>1</v>
      </c>
      <c r="D5" s="83" t="n">
        <v>1200</v>
      </c>
      <c r="E5" s="83" t="n">
        <v>1520</v>
      </c>
      <c r="F5" s="83" t="n">
        <v>1800</v>
      </c>
      <c r="G5" s="22">
        <f>C5*E5</f>
        <v>1520</v>
      </c>
      <c r="H5" s="21" t="inlineStr">
        <is>
          <t>Dubai Dept. of Economy &amp; Tourism per-unit permit. Usually re-charged to the owner — confirm in the management contract.</t>
        </is>
      </c>
    </row>
    <row r="6" ht="26" customHeight="1">
      <c r="A6" s="14" t="inlineStr">
        <is>
          <t>U2</t>
        </is>
      </c>
      <c r="B6" s="14" t="inlineStr">
        <is>
          <t>Smart lock / keyless entry device + install</t>
        </is>
      </c>
      <c r="C6" s="95" t="n">
        <v>1</v>
      </c>
      <c r="D6" s="83" t="n">
        <v>850</v>
      </c>
      <c r="E6" s="83" t="n">
        <v>1200</v>
      </c>
      <c r="F6" s="83" t="n">
        <v>1700</v>
      </c>
      <c r="G6" s="22">
        <f>C6*E6</f>
        <v>1200</v>
      </c>
      <c r="H6" s="21" t="inlineStr">
        <is>
          <t>Essential for self check-in. Removes the cost of a physical key handover per booking.</t>
        </is>
      </c>
    </row>
    <row r="7" ht="26" customHeight="1">
      <c r="A7" s="14" t="inlineStr">
        <is>
          <t>U3</t>
        </is>
      </c>
      <c r="B7" s="14" t="inlineStr">
        <is>
          <t>Professional listing photography (unit)</t>
        </is>
      </c>
      <c r="C7" s="95" t="n">
        <v>1</v>
      </c>
      <c r="D7" s="83" t="n">
        <v>500</v>
      </c>
      <c r="E7" s="83" t="n">
        <v>800</v>
      </c>
      <c r="F7" s="83" t="n">
        <v>1400</v>
      </c>
      <c r="G7" s="22">
        <f>C7*E7</f>
        <v>800</v>
      </c>
      <c r="H7" s="21" t="inlineStr">
        <is>
          <t>Single biggest driver of conversion on Airbnb / Booking.com. Do not economise here.</t>
        </is>
      </c>
    </row>
    <row r="8" ht="26" customHeight="1">
      <c r="A8" s="14" t="inlineStr">
        <is>
          <t>U4</t>
        </is>
      </c>
      <c r="B8" s="14" t="inlineStr">
        <is>
          <t>Linen &amp; towel par stock — 3 sets</t>
        </is>
      </c>
      <c r="C8" s="95" t="n">
        <v>1</v>
      </c>
      <c r="D8" s="83" t="n">
        <v>1100</v>
      </c>
      <c r="E8" s="83" t="n">
        <v>1800</v>
      </c>
      <c r="F8" s="83" t="n">
        <v>2600</v>
      </c>
      <c r="G8" s="22">
        <f>C8*E8</f>
        <v>1800</v>
      </c>
      <c r="H8" s="21" t="inlineStr">
        <is>
          <t>3 sets allows one in use, one in laundry, one on the shelf. Required for same-day turnovers.</t>
        </is>
      </c>
    </row>
    <row r="9" ht="26" customHeight="1">
      <c r="A9" s="14" t="inlineStr">
        <is>
          <t>U5</t>
        </is>
      </c>
      <c r="B9" s="14" t="inlineStr">
        <is>
          <t>Welcome &amp; amenity kit (branded, Japanese-hospitality standard)</t>
        </is>
      </c>
      <c r="C9" s="95" t="n">
        <v>1</v>
      </c>
      <c r="D9" s="83" t="n">
        <v>300</v>
      </c>
      <c r="E9" s="83" t="n">
        <v>450</v>
      </c>
      <c r="F9" s="83" t="n">
        <v>700</v>
      </c>
      <c r="G9" s="22">
        <f>C9*E9</f>
        <v>450</v>
      </c>
      <c r="H9" s="21" t="inlineStr">
        <is>
          <t>Brand differentiator per the Ma / Shibui positioning in the Business Profile.</t>
        </is>
      </c>
    </row>
    <row r="10" ht="26" customHeight="1">
      <c r="A10" s="14" t="inlineStr">
        <is>
          <t>U6</t>
        </is>
      </c>
      <c r="B10" s="14" t="inlineStr">
        <is>
          <t>Safety kit — smoke detector, fire extinguisher, first-aid box</t>
        </is>
      </c>
      <c r="C10" s="95" t="n">
        <v>1</v>
      </c>
      <c r="D10" s="83" t="n">
        <v>380</v>
      </c>
      <c r="E10" s="83" t="n">
        <v>550</v>
      </c>
      <c r="F10" s="83" t="n">
        <v>800</v>
      </c>
      <c r="G10" s="22">
        <f>C10*E10</f>
        <v>550</v>
      </c>
      <c r="H10" s="21" t="inlineStr">
        <is>
          <t>DET holiday-home inspection requirement.</t>
        </is>
      </c>
    </row>
    <row r="11" ht="26" customHeight="1">
      <c r="A11" s="14" t="inlineStr">
        <is>
          <t>U7</t>
        </is>
      </c>
      <c r="B11" s="14" t="inlineStr">
        <is>
          <t>Small appliances &amp; inventory top-up (kettle, iron, hairdryer, crockery gaps)</t>
        </is>
      </c>
      <c r="C11" s="95" t="n">
        <v>1</v>
      </c>
      <c r="D11" s="83" t="n">
        <v>500</v>
      </c>
      <c r="E11" s="83" t="n">
        <v>900</v>
      </c>
      <c r="F11" s="83" t="n">
        <v>1600</v>
      </c>
      <c r="G11" s="22">
        <f>C11*E11</f>
        <v>900</v>
      </c>
      <c r="H11" s="21" t="inlineStr">
        <is>
          <t>Covers the gap between what the owner supplies and DET / guest expectation.</t>
        </is>
      </c>
    </row>
    <row r="12" ht="26" customHeight="1">
      <c r="A12" s="14" t="inlineStr">
        <is>
          <t>U8</t>
        </is>
      </c>
      <c r="B12" s="14" t="inlineStr">
        <is>
          <t>Initial deep clean &amp; staging before first listing</t>
        </is>
      </c>
      <c r="C12" s="95" t="n">
        <v>1</v>
      </c>
      <c r="D12" s="83" t="n">
        <v>400</v>
      </c>
      <c r="E12" s="83" t="n">
        <v>600</v>
      </c>
      <c r="F12" s="83" t="n">
        <v>950</v>
      </c>
      <c r="G12" s="22">
        <f>C12*E12</f>
        <v>600</v>
      </c>
      <c r="H12" s="21" t="inlineStr">
        <is>
          <t>One-off. Routine turnover cleaning sits in OPEX.</t>
        </is>
      </c>
    </row>
    <row r="13" ht="26" customHeight="1">
      <c r="A13" s="14" t="inlineStr">
        <is>
          <t>U9</t>
        </is>
      </c>
      <c r="B13" s="14" t="inlineStr">
        <is>
          <t>Inventory &amp; condition report, listing build, channel sync</t>
        </is>
      </c>
      <c r="C13" s="95" t="n">
        <v>1</v>
      </c>
      <c r="D13" s="83" t="n">
        <v>200</v>
      </c>
      <c r="E13" s="83" t="n">
        <v>300</v>
      </c>
      <c r="F13" s="83" t="n">
        <v>500</v>
      </c>
      <c r="G13" s="22">
        <f>C13*E13</f>
        <v>300</v>
      </c>
      <c r="H13" s="21" t="inlineStr">
        <is>
          <t>Protects against damage disputes and is the baseline for owner reporting.</t>
        </is>
      </c>
    </row>
    <row r="14" ht="26" customHeight="1">
      <c r="A14" s="14" t="inlineStr">
        <is>
          <t>U10</t>
        </is>
      </c>
      <c r="B14" s="14" t="inlineStr">
        <is>
          <t>Guest welcome book, house rules, signage (printed)</t>
        </is>
      </c>
      <c r="C14" s="95" t="n">
        <v>1</v>
      </c>
      <c r="D14" s="83" t="n">
        <v>120</v>
      </c>
      <c r="E14" s="83" t="n">
        <v>200</v>
      </c>
      <c r="F14" s="83" t="n">
        <v>350</v>
      </c>
      <c r="G14" s="22">
        <f>C14*E14</f>
        <v>200</v>
      </c>
      <c r="H14" s="21" t="inlineStr">
        <is>
          <t>Reduces avoidable guest-support contacts.</t>
        </is>
      </c>
    </row>
    <row r="15">
      <c r="A15" s="30" t="n"/>
      <c r="B15" s="29" t="inlineStr">
        <is>
          <t>Subtotal — per unit</t>
        </is>
      </c>
      <c r="C15" s="30" t="n"/>
      <c r="D15" s="31">
        <f>SUMPRODUCT($C$5:$C$14,D5:D14)</f>
        <v>5550</v>
      </c>
      <c r="E15" s="31">
        <f>SUMPRODUCT($C$5:$C$14,E5:E14)</f>
        <v>8320</v>
      </c>
      <c r="F15" s="31">
        <f>SUMPRODUCT($C$5:$C$14,F5:F14)</f>
        <v>12400</v>
      </c>
      <c r="G15" s="31">
        <f>SUM(G5:G14)</f>
        <v>8320</v>
      </c>
      <c r="H15" s="30" t="n"/>
    </row>
    <row r="16">
      <c r="B16" s="79" t="inlineStr">
        <is>
          <t>Contingency</t>
        </is>
      </c>
      <c r="C16" s="98" t="n">
        <v>0.1</v>
      </c>
      <c r="D16" s="99">
        <f>D15*$C$16</f>
        <v>555</v>
      </c>
      <c r="E16" s="99">
        <f>E15*$C$16</f>
        <v>832</v>
      </c>
      <c r="F16" s="99">
        <f>F15*$C$16</f>
        <v>1240</v>
      </c>
      <c r="G16" s="99">
        <f>G15*$C$16</f>
        <v>832</v>
      </c>
      <c r="H16" s="62" t="inlineStr">
        <is>
          <t>Applied to the per-unit subtotal. Covers price movement on permits and hardware.</t>
        </is>
      </c>
    </row>
    <row r="17" ht="20" customHeight="1">
      <c r="A17" s="5" t="n"/>
      <c r="B17" s="18" t="inlineStr">
        <is>
          <t>TOTAL CAPEX PER UNIT</t>
        </is>
      </c>
      <c r="C17" s="5" t="n"/>
      <c r="D17" s="19">
        <f>D15+D16</f>
        <v>6105</v>
      </c>
      <c r="E17" s="19">
        <f>E15+E16</f>
        <v>9152</v>
      </c>
      <c r="F17" s="19">
        <f>F15+F16</f>
        <v>13640</v>
      </c>
      <c r="G17" s="19">
        <f>G15+G16</f>
        <v>9152</v>
      </c>
      <c r="H17" s="5" t="n"/>
    </row>
    <row r="20">
      <c r="A20" s="4" t="inlineStr">
        <is>
          <t>PORTFOLIO SCALING REFERENCE — FOR INFORMATION ONLY, NOT INCLUDED IN THE CAPEX TOTAL</t>
        </is>
      </c>
      <c r="B20" s="5" t="n"/>
      <c r="C20" s="5" t="n"/>
      <c r="D20" s="5" t="n"/>
      <c r="E20" s="5" t="n"/>
      <c r="F20" s="5" t="n"/>
      <c r="G20" s="5" t="n"/>
      <c r="H20" s="5" t="n"/>
    </row>
    <row r="21" ht="26" customHeight="1">
      <c r="A21" s="102" t="inlineStr">
        <is>
          <t>Per management, the CAPEX total is built for ONE unit. This table shows what the same unit-setup cost becomes at portfolio scale, against the Business Profile's 70–80 unit Year-1 target.</t>
        </is>
      </c>
    </row>
    <row r="23">
      <c r="A23" s="35" t="inlineStr">
        <is>
          <t>Units</t>
        </is>
      </c>
      <c r="B23" s="35" t="inlineStr">
        <is>
          <t>Total — Low</t>
        </is>
      </c>
      <c r="C23" s="35" t="inlineStr">
        <is>
          <t>Total — Base</t>
        </is>
      </c>
      <c r="D23" s="35" t="inlineStr">
        <is>
          <t>Total — High</t>
        </is>
      </c>
    </row>
    <row r="24">
      <c r="A24" s="103" t="n">
        <v>1</v>
      </c>
      <c r="B24" s="99">
        <f>$A24*D$17</f>
        <v>6105</v>
      </c>
      <c r="C24" s="99">
        <f>$A24*E$17</f>
        <v>9152</v>
      </c>
      <c r="D24" s="99">
        <f>$A24*F$17</f>
        <v>13640</v>
      </c>
    </row>
    <row r="25">
      <c r="A25" s="103" t="n">
        <v>5</v>
      </c>
      <c r="B25" s="99">
        <f>$A25*D$17</f>
        <v>30525</v>
      </c>
      <c r="C25" s="99">
        <f>$A25*E$17</f>
        <v>45760</v>
      </c>
      <c r="D25" s="99">
        <f>$A25*F$17</f>
        <v>68200</v>
      </c>
    </row>
    <row r="26">
      <c r="A26" s="103" t="n">
        <v>10</v>
      </c>
      <c r="B26" s="99">
        <f>$A26*D$17</f>
        <v>61050</v>
      </c>
      <c r="C26" s="99">
        <f>$A26*E$17</f>
        <v>91520</v>
      </c>
      <c r="D26" s="99">
        <f>$A26*F$17</f>
        <v>136400</v>
      </c>
    </row>
    <row r="27">
      <c r="A27" s="103" t="n">
        <v>25</v>
      </c>
      <c r="B27" s="99">
        <f>$A27*D$17</f>
        <v>152625</v>
      </c>
      <c r="C27" s="99">
        <f>$A27*E$17</f>
        <v>228800</v>
      </c>
      <c r="D27" s="99">
        <f>$A27*F$17</f>
        <v>341000</v>
      </c>
    </row>
    <row r="28">
      <c r="A28" s="103" t="n">
        <v>50</v>
      </c>
      <c r="B28" s="99">
        <f>$A28*D$17</f>
        <v>305250</v>
      </c>
      <c r="C28" s="99">
        <f>$A28*E$17</f>
        <v>457600</v>
      </c>
      <c r="D28" s="99">
        <f>$A28*F$17</f>
        <v>682000</v>
      </c>
    </row>
    <row r="29">
      <c r="A29" s="104" t="n">
        <v>80</v>
      </c>
      <c r="B29" s="105">
        <f>$A29*D$17</f>
        <v>488400</v>
      </c>
      <c r="C29" s="105">
        <f>$A29*E$17</f>
        <v>732160</v>
      </c>
      <c r="D29" s="105">
        <f>$A29*F$17</f>
        <v>1091200</v>
      </c>
    </row>
  </sheetData>
  <mergeCells count="4">
    <mergeCell ref="A20:H20"/>
    <mergeCell ref="A21:H21"/>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showGridLines="0" workbookViewId="0">
      <selection activeCell="A1" sqref="A1"/>
    </sheetView>
  </sheetViews>
  <sheetFormatPr baseColWidth="8" defaultRowHeight="15"/>
  <cols>
    <col width="46" customWidth="1" min="1" max="1"/>
    <col width="17" customWidth="1" min="2" max="2"/>
    <col width="17" customWidth="1" min="3" max="3"/>
    <col width="15" customWidth="1" min="4" max="4"/>
    <col width="3" customWidth="1" min="5" max="5"/>
    <col width="60" customWidth="1" min="6" max="6"/>
  </cols>
  <sheetData>
    <row r="1" ht="26" customHeight="1">
      <c r="A1" s="1" t="inlineStr">
        <is>
          <t>OPEX SUMMARY — YEAR 1</t>
        </is>
      </c>
      <c r="B1" s="2" t="n"/>
      <c r="C1" s="2" t="n"/>
      <c r="D1" s="2" t="n"/>
      <c r="E1" s="2" t="n"/>
      <c r="F1" s="2" t="n"/>
    </row>
    <row r="2" ht="16" customHeight="1">
      <c r="A2" s="3" t="inlineStr">
        <is>
          <t>All figures AED. Reads live from 'OPEX Monthly'. Change the scenario on the Assumptions tab to re-cut it.</t>
        </is>
      </c>
      <c r="B2" s="2" t="n"/>
      <c r="C2" s="2" t="n"/>
      <c r="D2" s="2" t="n"/>
      <c r="E2" s="2" t="n"/>
      <c r="F2" s="2" t="n"/>
    </row>
    <row r="4" ht="24" customHeight="1">
      <c r="A4" s="13" t="inlineStr">
        <is>
          <t>Category</t>
        </is>
      </c>
      <c r="B4" s="13" t="inlineStr">
        <is>
          <t>FY1 total</t>
        </is>
      </c>
      <c r="C4" s="13" t="inlineStr">
        <is>
          <t>Monthly average</t>
        </is>
      </c>
      <c r="D4" s="13" t="inlineStr">
        <is>
          <t>% of total OPEX</t>
        </is>
      </c>
      <c r="E4" s="7" t="n"/>
      <c r="F4" s="13" t="inlineStr">
        <is>
          <t>Comment</t>
        </is>
      </c>
    </row>
    <row r="5" ht="26" customHeight="1">
      <c r="A5" s="14" t="inlineStr">
        <is>
          <t>A.  STAFF COSTS</t>
        </is>
      </c>
      <c r="B5" s="15">
        <f>'OPEX Monthly'!O22</f>
        <v>64242</v>
      </c>
      <c r="C5" s="22">
        <f>B5/12</f>
        <v>5353.5</v>
      </c>
      <c r="D5" s="93">
        <f>IF($B$14=0,0,B5/$B$14)</f>
        <v>0.09000781616627762</v>
      </c>
      <c r="E5" s="17" t="n"/>
      <c r="F5" s="21" t="inlineStr">
        <is>
          <t>Headcount now scales with the portfolio (see the staffing ratio on Assumptions). Still understated: directors work unpaid.</t>
        </is>
      </c>
    </row>
    <row r="6" ht="26" customHeight="1">
      <c r="A6" s="14" t="inlineStr">
        <is>
          <t>B.  Marketing — Option 1 (fully online)</t>
        </is>
      </c>
      <c r="B6" s="15">
        <f>'OPEX Monthly'!O29</f>
        <v>7760</v>
      </c>
      <c r="C6" s="22">
        <f>B6/12</f>
        <v>646.6666666666666</v>
      </c>
      <c r="D6" s="93">
        <f>IF($B$14=0,0,B6/$B$14)</f>
        <v>0.010872336687063205</v>
      </c>
      <c r="E6" s="17" t="n"/>
      <c r="F6" s="21" t="inlineStr">
        <is>
          <t>Runs M1–M2 only unless adopted from M3 on the Assumptions tab.</t>
        </is>
      </c>
    </row>
    <row r="7" ht="26" customHeight="1">
      <c r="A7" s="14" t="inlineStr">
        <is>
          <t>C.  Marketing — Option 2 (remote office)</t>
        </is>
      </c>
      <c r="B7" s="15">
        <f>'OPEX Monthly'!O38</f>
        <v>57300</v>
      </c>
      <c r="C7" s="22">
        <f>B7/12</f>
        <v>4775</v>
      </c>
      <c r="D7" s="93">
        <f>IF($B$14=0,0,B7/$B$14)</f>
        <v>0.08028155826916515</v>
      </c>
      <c r="E7" s="17" t="n"/>
      <c r="F7" s="21" t="inlineStr">
        <is>
          <t>Runs M1–M2 only unless adopted from M3 on the Assumptions tab.</t>
        </is>
      </c>
    </row>
    <row r="8" ht="26" customHeight="1">
      <c r="A8" s="14" t="inlineStr">
        <is>
          <t>D.  Unit-acquisition commission (2%)</t>
        </is>
      </c>
      <c r="B8" s="15">
        <f>'OPEX Monthly'!O42</f>
        <v>75103.20000000001</v>
      </c>
      <c r="C8" s="22">
        <f>B8/12</f>
        <v>6258.600000000001</v>
      </c>
      <c r="D8" s="93">
        <f>IF($B$14=0,0,B8/$B$14)</f>
        <v>0.10522516452008317</v>
      </c>
      <c r="E8" s="17" t="n"/>
      <c r="F8" s="21" t="inlineStr">
        <is>
          <t>Grows every month as the portfolio grows — this is the line that scales fastest of anything here.</t>
        </is>
      </c>
    </row>
    <row r="9" ht="26" customHeight="1">
      <c r="A9" s="14" t="inlineStr">
        <is>
          <t>E.  TECHNOLOGY, PLATFORM &amp; AI</t>
        </is>
      </c>
      <c r="B9" s="15">
        <f>'OPEX Monthly'!O53</f>
        <v>70331.12999999999</v>
      </c>
      <c r="C9" s="22">
        <f>B9/12</f>
        <v>5860.927499999999</v>
      </c>
      <c r="D9" s="93">
        <f>IF($B$14=0,0,B9/$B$14)</f>
        <v>0.09853913981206333</v>
      </c>
      <c r="E9" s="17" t="n"/>
      <c r="F9" s="21" t="inlineStr">
        <is>
          <t>Part fixed (AI, Workspace, website), part per-unit (PMS, pricing, locks). Includes the AI subscriptions specified by management.</t>
        </is>
      </c>
    </row>
    <row r="10" ht="26" customHeight="1">
      <c r="A10" s="14" t="inlineStr">
        <is>
          <t>F.  UNIT OPERATIONS</t>
        </is>
      </c>
      <c r="B10" s="15">
        <f>'OPEX Monthly'!O61</f>
        <v>196420.00000000003</v>
      </c>
      <c r="C10" s="22">
        <f>B10/12</f>
        <v>16368.333333333336</v>
      </c>
      <c r="D10" s="93">
        <f>IF($B$14=0,0,B10/$B$14)</f>
        <v>0.27519901701971067</v>
      </c>
      <c r="E10" s="17" t="n"/>
      <c r="F10" s="21" t="inlineStr">
        <is>
          <t>Fully variable. Much of it is re-chargeable to owners or guests — set the relevant assumptions to 0 if you recharge.</t>
        </is>
      </c>
    </row>
    <row r="11" ht="26" customHeight="1">
      <c r="A11" s="14" t="inlineStr">
        <is>
          <t>G.  OFFICE &amp; ADMINISTRATION</t>
        </is>
      </c>
      <c r="B11" s="15">
        <f>'OPEX Monthly'!O71</f>
        <v>154694.16</v>
      </c>
      <c r="C11" s="22">
        <f>B11/12</f>
        <v>12891.18</v>
      </c>
      <c r="D11" s="93">
        <f>IF($B$14=0,0,B11/$B$14)</f>
        <v>0.2167380143095909</v>
      </c>
      <c r="E11" s="17" t="n"/>
      <c r="F11" s="21" t="inlineStr">
        <is>
          <t>Mostly fixed. Transport is the one line that climbs with unit count.</t>
        </is>
      </c>
    </row>
    <row r="12" ht="26" customHeight="1">
      <c r="A12" s="14" t="inlineStr">
        <is>
          <t>H.  PROFESSIONAL, COMPLIANCE &amp; INSURANCE</t>
        </is>
      </c>
      <c r="B12" s="15">
        <f>'OPEX Monthly'!O82</f>
        <v>53900.00000000001</v>
      </c>
      <c r="C12" s="22">
        <f>B12/12</f>
        <v>4491.666666666667</v>
      </c>
      <c r="D12" s="93">
        <f>IF($B$14=0,0,B12/$B$14)</f>
        <v>0.0755179055969983</v>
      </c>
      <c r="E12" s="17" t="n"/>
      <c r="F12" s="21" t="inlineStr">
        <is>
          <t>Annual costs accrued monthly so no single month takes the hit. Non-negotiable for a licensed UAE entity.</t>
        </is>
      </c>
    </row>
    <row r="13">
      <c r="A13" s="14" t="inlineStr">
        <is>
          <t>Contingency</t>
        </is>
      </c>
      <c r="B13" s="15">
        <f>'OPEX Monthly'!O86</f>
        <v>33987.5245</v>
      </c>
      <c r="C13" s="22">
        <f>B13/12</f>
        <v>2832.293708333333</v>
      </c>
      <c r="D13" s="93">
        <f>IF($B$14=0,0,B13/$B$14)</f>
        <v>0.047619047619047616</v>
      </c>
      <c r="E13" s="17" t="n"/>
      <c r="F13" s="16" t="inlineStr">
        <is>
          <t>Set on the Assumptions tab.</t>
        </is>
      </c>
    </row>
    <row r="14" ht="20" customHeight="1">
      <c r="A14" s="18" t="inlineStr">
        <is>
          <t>TOTAL OPEX — YEAR 1</t>
        </is>
      </c>
      <c r="B14" s="19">
        <f>SUM(B5:B13)</f>
        <v>713738.0145</v>
      </c>
      <c r="C14" s="19">
        <f>B14/12</f>
        <v>59478.16787500001</v>
      </c>
      <c r="D14" s="94">
        <f>IF($B$14=0,0,SUM(D5:D13))</f>
        <v>1</v>
      </c>
      <c r="E14" s="5" t="n"/>
      <c r="F14" s="5" t="n"/>
    </row>
    <row r="16" ht="18" customHeight="1">
      <c r="A16" s="4" t="inlineStr">
        <is>
          <t>KEY METRICS — YEAR 1</t>
        </is>
      </c>
      <c r="B16" s="5" t="n"/>
      <c r="C16" s="5" t="n"/>
      <c r="D16" s="5" t="n"/>
      <c r="E16" s="5" t="n"/>
      <c r="F16" s="5" t="n"/>
    </row>
    <row r="17" ht="24" customHeight="1">
      <c r="A17" s="14" t="inlineStr">
        <is>
          <t>Units signed by end of Year 1</t>
        </is>
      </c>
      <c r="B17" s="24">
        <f>'OPEX Monthly'!N8</f>
        <v>80</v>
      </c>
      <c r="C17" s="17" t="n"/>
      <c r="D17" s="17" t="n"/>
      <c r="E17" s="17" t="n"/>
      <c r="F17" s="21" t="inlineStr">
        <is>
          <t>Against the Business Profile's 70–80 unit Year-1 target.</t>
        </is>
      </c>
    </row>
    <row r="18" ht="24" customHeight="1">
      <c r="A18" s="14" t="inlineStr">
        <is>
          <t>Gross booking revenue (portfolio, guest spend)</t>
        </is>
      </c>
      <c r="B18" s="15">
        <f>'OPEX Monthly'!O11</f>
        <v>3755160</v>
      </c>
      <c r="C18" s="17" t="n"/>
      <c r="D18" s="17" t="n"/>
      <c r="E18" s="17" t="n"/>
      <c r="F18" s="21" t="inlineStr">
        <is>
          <t>This is what guests pay across the portfolio — NOT Orizuru's revenue.</t>
        </is>
      </c>
    </row>
    <row r="19" ht="24" customHeight="1">
      <c r="A19" s="14" t="inlineStr">
        <is>
          <t>Orizuru revenue (management fees)</t>
        </is>
      </c>
      <c r="B19" s="15">
        <f>'OPEX Monthly'!O12</f>
        <v>751032</v>
      </c>
      <c r="C19" s="17" t="n"/>
      <c r="D19" s="17" t="n"/>
      <c r="E19" s="17" t="n"/>
      <c r="F19" s="21" t="inlineStr">
        <is>
          <t>Orizuru's actual top line under the commission-only model.</t>
        </is>
      </c>
    </row>
    <row r="20" ht="24" customHeight="1">
      <c r="A20" s="14" t="inlineStr">
        <is>
          <t>Total OPEX</t>
        </is>
      </c>
      <c r="B20" s="22">
        <f>B14</f>
        <v>713738.0145</v>
      </c>
      <c r="C20" s="17" t="n"/>
      <c r="D20" s="17" t="n"/>
      <c r="E20" s="17" t="n"/>
      <c r="F20" s="21" t="inlineStr"/>
    </row>
    <row r="21" ht="24" customHeight="1">
      <c r="A21" s="14" t="inlineStr">
        <is>
          <t>Operating surplus / (deficit)</t>
        </is>
      </c>
      <c r="B21" s="15">
        <f>'OPEX Monthly'!O92</f>
        <v>37293.9855</v>
      </c>
      <c r="C21" s="17" t="n"/>
      <c r="D21" s="17" t="n"/>
      <c r="E21" s="17" t="n"/>
      <c r="F21" s="21" t="inlineStr">
        <is>
          <t>Before corporate tax and before any director remuneration.</t>
        </is>
      </c>
    </row>
    <row r="22" ht="24" customHeight="1">
      <c r="A22" s="14" t="inlineStr">
        <is>
          <t>Peak cash requirement (worst cumulative month)</t>
        </is>
      </c>
      <c r="B22" s="15">
        <f>MIN('OPEX Monthly'!C93:N93)</f>
        <v>-76726.00524999999</v>
      </c>
      <c r="C22" s="17" t="n"/>
      <c r="D22" s="17" t="n"/>
      <c r="E22" s="17" t="n"/>
      <c r="F22" s="21" t="inlineStr">
        <is>
          <t>The most negative the cumulative operating cash position ever gets. THIS is the working capital number to fund — not the annual OPEX figure.</t>
        </is>
      </c>
    </row>
    <row r="23" ht="24" customHeight="1">
      <c r="A23" s="14" t="inlineStr">
        <is>
          <t>OPEX as % of Orizuru revenue</t>
        </is>
      </c>
      <c r="B23" s="26">
        <f>IF(B19=0,0,B20/B19)</f>
        <v>0.9503430140127186</v>
      </c>
      <c r="C23" s="17" t="n"/>
      <c r="D23" s="17" t="n"/>
      <c r="E23" s="17" t="n"/>
      <c r="F23" s="21" t="inlineStr">
        <is>
          <t>Total OPEX divided by Orizuru's management fee revenue. Above 100% means Year 1 runs at a loss — normal while the portfolio ramps.</t>
        </is>
      </c>
    </row>
    <row r="24" ht="24" customHeight="1">
      <c r="A24" s="14" t="inlineStr">
        <is>
          <t>Exit-run-rate monthly OPEX (Month 12)</t>
        </is>
      </c>
      <c r="B24" s="15">
        <f>'OPEX Monthly'!N87</f>
        <v>113117.816875</v>
      </c>
      <c r="C24" s="17" t="n"/>
      <c r="D24" s="17" t="n"/>
      <c r="E24" s="17" t="n"/>
      <c r="F24" s="21" t="inlineStr">
        <is>
          <t>The steady-state monthly cost you carry into Year 2.</t>
        </is>
      </c>
    </row>
    <row r="25" ht="24" customHeight="1">
      <c r="A25" s="14" t="inlineStr">
        <is>
          <t>OPEX per live unit at Month 12</t>
        </is>
      </c>
      <c r="B25" s="15">
        <f>'OPEX Monthly'!N95</f>
        <v>1593.2086883802817</v>
      </c>
      <c r="C25" s="17" t="n"/>
      <c r="D25" s="17" t="n"/>
      <c r="E25" s="17" t="n"/>
      <c r="F25" s="21" t="inlineStr">
        <is>
          <t>Efficiency measure. Should fall steadily as the portfolio grows.</t>
        </is>
      </c>
    </row>
    <row r="27" ht="18" customHeight="1">
      <c r="A27" s="4" t="inlineStr">
        <is>
          <t>WHAT I ADDED THAT WAS NOT IN YOUR BRIEF — AND WHY</t>
        </is>
      </c>
      <c r="B27" s="5" t="n"/>
      <c r="C27" s="5" t="n"/>
      <c r="D27" s="5" t="n"/>
      <c r="E27" s="5" t="n"/>
      <c r="F27" s="5" t="n"/>
    </row>
    <row r="28" ht="32" customHeight="1">
      <c r="A28" s="33" t="inlineStr">
        <is>
          <t>•  Staff visa, medical insurance, Emirates ID and end-of-service gratuity. AED 3,000/month is the salary, not the cost of employing someone in the UAE. The true loaded cost is roughly 45–50% higher.</t>
        </is>
      </c>
    </row>
    <row r="29" ht="32" customHeight="1">
      <c r="A29" s="33" t="inlineStr">
        <is>
          <t>•  Trade licence and DET operator permit renewal, accrued monthly. These arrive as a single large annual bill and sink first-year cash plans that ignored them.</t>
        </is>
      </c>
    </row>
    <row r="30" ht="32" customHeight="1">
      <c r="A30" s="33" t="inlineStr">
        <is>
          <t>•  Public liability and professional indemnity insurance. Orizuru holds keys to other people's property — this is not optional.</t>
        </is>
      </c>
    </row>
    <row r="31" ht="32" customHeight="1">
      <c r="A31" s="33" t="inlineStr">
        <is>
          <t>•  External audit and Corporate Tax compliance. UAE Corporate Tax applies above AED 375,000 of taxable profit; the compliance cost applies regardless.</t>
        </is>
      </c>
    </row>
    <row r="32" ht="32" customHeight="1">
      <c r="A32" s="33" t="inlineStr">
        <is>
          <t>•  Transport, fuel, Salik and parking. Check-ins and inspections across Dubai at 70–80 units. Consistently the most underestimated line in holiday-home management.</t>
        </is>
      </c>
    </row>
    <row r="33" ht="32" customHeight="1">
      <c r="A33" s="33" t="inlineStr">
        <is>
          <t>•  Per-unit software: PMS/channel manager, dynamic pricing, smart-lock platform. These are priced per property, so they scale with the portfolio and are easy to miss when modelling a single unit.</t>
        </is>
      </c>
    </row>
    <row r="34" ht="32" customHeight="1">
      <c r="A34" s="33" t="inlineStr">
        <is>
          <t>•  For Option 2: local utilities, an on-site supervisor, and a compliant offshore contracting route. A room with 4–6 people in it costs more than rent plus wages.</t>
        </is>
      </c>
    </row>
    <row r="35" ht="19" customHeight="1">
      <c r="A35" s="33" t="inlineStr">
        <is>
          <t>•  Contingency. First-year UAE service company with regulatory fees in motion.</t>
        </is>
      </c>
    </row>
    <row r="37" ht="18" customHeight="1">
      <c r="A37" s="4" t="inlineStr">
        <is>
          <t>THREE THINGS TO LOOK AT BEFORE YOU CIRCULATE THIS</t>
        </is>
      </c>
      <c r="B37" s="5" t="n"/>
      <c r="C37" s="5" t="n"/>
      <c r="D37" s="5" t="n"/>
      <c r="E37" s="5" t="n"/>
      <c r="F37" s="5" t="n"/>
    </row>
    <row r="38" ht="60" customHeight="1">
      <c r="A38" s="33" t="inlineStr">
        <is>
          <t>•  STAFFING NOW SCALES WITH THE PORTFOLIO. Headcount is driven by the 'live units per operations staff member' ratio on the Assumptions tab (35 in the Base case), with a floor of one person. The team grows through Year 1 as units come live rather than staying at one person for 80 units, which was never realistic. Tighten or loosen the ratio there — it is the single input that decides staff cost.</t>
        </is>
      </c>
    </row>
    <row r="39" ht="60" customHeight="1">
      <c r="A39" s="33" t="inlineStr">
        <is>
          <t>•  REVENUE RECOGNITION vs THE BUSINESS PROFILE. The profile projects AED 2.5–4.5M Year-1 turnover. Under a pure commission-only model at 70–80 units, Orizuru's own revenue is materially lower — the AED 2.5–4.5M is closer to gross booking value passing through. Agree with your accountant and the bank which figure you are presenting before submission; they are very different numbers.</t>
        </is>
      </c>
    </row>
    <row r="40" ht="47" customHeight="1">
      <c r="A40" s="33" t="inlineStr">
        <is>
          <t>•  THE 2% IS ONGOING, NOT ONE-OFF. As instructed, it applies to every live unit every month, forever. By Month 12 it is one of the larger single lines in the model and it never stops growing. If the intent was a one-off signing incentive, tell me and I will re-cut it — the difference over three years is very large.</t>
        </is>
      </c>
    </row>
  </sheetData>
  <mergeCells count="16">
    <mergeCell ref="A38:F38"/>
    <mergeCell ref="A2:F2"/>
    <mergeCell ref="A16:F16"/>
    <mergeCell ref="A33:F33"/>
    <mergeCell ref="A28:F28"/>
    <mergeCell ref="A1:F1"/>
    <mergeCell ref="A37:F37"/>
    <mergeCell ref="A32:F32"/>
    <mergeCell ref="A27:F27"/>
    <mergeCell ref="A31:F31"/>
    <mergeCell ref="A34:F34"/>
    <mergeCell ref="A35:F35"/>
    <mergeCell ref="A40:F40"/>
    <mergeCell ref="A30:F30"/>
    <mergeCell ref="A39:F39"/>
    <mergeCell ref="A29:F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9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6"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4" customWidth="1" min="15" max="15"/>
    <col width="11" customWidth="1" min="16" max="16"/>
  </cols>
  <sheetData>
    <row r="1" ht="26" customHeight="1">
      <c r="A1" s="1" t="inlineStr">
        <is>
          <t>OPEX — MONTH BY MONTH, YEAR 1</t>
        </is>
      </c>
      <c r="B1" s="2" t="n"/>
      <c r="C1" s="2" t="n"/>
      <c r="D1" s="2" t="n"/>
      <c r="E1" s="2" t="n"/>
      <c r="F1" s="2" t="n"/>
      <c r="G1" s="2" t="n"/>
      <c r="H1" s="2" t="n"/>
      <c r="I1" s="2" t="n"/>
      <c r="J1" s="2" t="n"/>
      <c r="K1" s="2" t="n"/>
      <c r="L1" s="2" t="n"/>
      <c r="M1" s="2" t="n"/>
      <c r="N1" s="2" t="n"/>
      <c r="O1" s="2" t="n"/>
      <c r="P1" s="2" t="n"/>
    </row>
    <row r="2" ht="16" customHeight="1">
      <c r="A2" s="3" t="inlineStr">
        <is>
          <t>All figures AED. Commission-only model: no unit rent, no owner utilities. Driven entirely by the Assumptions tab — change the scenario there and this whole sheet moves.</t>
        </is>
      </c>
      <c r="B2" s="2" t="n"/>
      <c r="C2" s="2" t="n"/>
      <c r="D2" s="2" t="n"/>
      <c r="E2" s="2" t="n"/>
      <c r="F2" s="2" t="n"/>
      <c r="G2" s="2" t="n"/>
      <c r="H2" s="2" t="n"/>
      <c r="I2" s="2" t="n"/>
      <c r="J2" s="2" t="n"/>
      <c r="K2" s="2" t="n"/>
      <c r="L2" s="2" t="n"/>
      <c r="M2" s="2" t="n"/>
      <c r="N2" s="2" t="n"/>
      <c r="O2" s="2" t="n"/>
      <c r="P2" s="2" t="n"/>
    </row>
    <row r="4" ht="22" customHeight="1">
      <c r="A4" s="106" t="inlineStr">
        <is>
          <t>Line item</t>
        </is>
      </c>
      <c r="B4" s="106" t="inlineStr">
        <is>
          <t>Basis</t>
        </is>
      </c>
      <c r="C4" s="13" t="inlineStr">
        <is>
          <t>M1</t>
        </is>
      </c>
      <c r="D4" s="13" t="inlineStr">
        <is>
          <t>M2</t>
        </is>
      </c>
      <c r="E4" s="13" t="inlineStr">
        <is>
          <t>M3</t>
        </is>
      </c>
      <c r="F4" s="13" t="inlineStr">
        <is>
          <t>M4</t>
        </is>
      </c>
      <c r="G4" s="13" t="inlineStr">
        <is>
          <t>M5</t>
        </is>
      </c>
      <c r="H4" s="13" t="inlineStr">
        <is>
          <t>M6</t>
        </is>
      </c>
      <c r="I4" s="13" t="inlineStr">
        <is>
          <t>M7</t>
        </is>
      </c>
      <c r="J4" s="13" t="inlineStr">
        <is>
          <t>M8</t>
        </is>
      </c>
      <c r="K4" s="13" t="inlineStr">
        <is>
          <t>M9</t>
        </is>
      </c>
      <c r="L4" s="13" t="inlineStr">
        <is>
          <t>M10</t>
        </is>
      </c>
      <c r="M4" s="13" t="inlineStr">
        <is>
          <t>M11</t>
        </is>
      </c>
      <c r="N4" s="13" t="inlineStr">
        <is>
          <t>M12</t>
        </is>
      </c>
      <c r="O4" s="13" t="inlineStr">
        <is>
          <t>FY1 TOTAL</t>
        </is>
      </c>
      <c r="P4" s="13" t="inlineStr">
        <is>
          <t>% of OPEX</t>
        </is>
      </c>
    </row>
    <row r="5" ht="18" customHeight="1">
      <c r="A5" s="4" t="inlineStr">
        <is>
          <t>DRIVERS  —  edit the yellow ramp row to change the whole model</t>
        </is>
      </c>
      <c r="B5" s="5" t="n"/>
      <c r="C5" s="5" t="n"/>
      <c r="D5" s="5" t="n"/>
      <c r="E5" s="5" t="n"/>
      <c r="F5" s="5" t="n"/>
      <c r="G5" s="5" t="n"/>
      <c r="H5" s="5" t="n"/>
      <c r="I5" s="5" t="n"/>
      <c r="J5" s="5" t="n"/>
      <c r="K5" s="5" t="n"/>
      <c r="L5" s="5" t="n"/>
      <c r="M5" s="5" t="n"/>
      <c r="N5" s="5" t="n"/>
      <c r="O5" s="5" t="n"/>
      <c r="P5" s="5" t="n"/>
    </row>
    <row r="6" ht="20" customHeight="1">
      <c r="A6" s="58" t="inlineStr">
        <is>
          <t>Month number</t>
        </is>
      </c>
      <c r="B6" s="107" t="inlineStr"/>
      <c r="C6" s="108" t="n">
        <v>1</v>
      </c>
      <c r="D6" s="108" t="n">
        <v>2</v>
      </c>
      <c r="E6" s="108" t="n">
        <v>3</v>
      </c>
      <c r="F6" s="108" t="n">
        <v>4</v>
      </c>
      <c r="G6" s="108" t="n">
        <v>5</v>
      </c>
      <c r="H6" s="108" t="n">
        <v>6</v>
      </c>
      <c r="I6" s="108" t="n">
        <v>7</v>
      </c>
      <c r="J6" s="108" t="n">
        <v>8</v>
      </c>
      <c r="K6" s="108" t="n">
        <v>9</v>
      </c>
      <c r="L6" s="108" t="n">
        <v>10</v>
      </c>
      <c r="M6" s="108" t="n">
        <v>11</v>
      </c>
      <c r="N6" s="108" t="n">
        <v>12</v>
      </c>
      <c r="O6" s="17" t="n"/>
      <c r="P6" s="17" t="n"/>
    </row>
    <row r="7" ht="20" customHeight="1">
      <c r="A7" s="109" t="inlineStr">
        <is>
          <t>New units signed in month</t>
        </is>
      </c>
      <c r="B7" s="107" t="inlineStr">
        <is>
          <t>Input — editable</t>
        </is>
      </c>
      <c r="C7" s="37" t="n">
        <v>3</v>
      </c>
      <c r="D7" s="37" t="n">
        <v>4</v>
      </c>
      <c r="E7" s="37" t="n">
        <v>5</v>
      </c>
      <c r="F7" s="37" t="n">
        <v>6</v>
      </c>
      <c r="G7" s="37" t="n">
        <v>6</v>
      </c>
      <c r="H7" s="37" t="n">
        <v>7</v>
      </c>
      <c r="I7" s="37" t="n">
        <v>7</v>
      </c>
      <c r="J7" s="37" t="n">
        <v>8</v>
      </c>
      <c r="K7" s="37" t="n">
        <v>8</v>
      </c>
      <c r="L7" s="37" t="n">
        <v>8</v>
      </c>
      <c r="M7" s="37" t="n">
        <v>9</v>
      </c>
      <c r="N7" s="37" t="n">
        <v>9</v>
      </c>
      <c r="O7" s="88">
        <f>SUM(C7:N7)</f>
        <v>80</v>
      </c>
      <c r="P7" s="17" t="n"/>
    </row>
    <row r="8" ht="20" customHeight="1">
      <c r="A8" s="36" t="inlineStr">
        <is>
          <t>Cumulative units signed</t>
        </is>
      </c>
      <c r="B8" s="107" t="inlineStr">
        <is>
          <t>Running total</t>
        </is>
      </c>
      <c r="C8" s="110">
        <f>C7</f>
        <v>3</v>
      </c>
      <c r="D8" s="110">
        <f>C8+D7</f>
        <v>7</v>
      </c>
      <c r="E8" s="110">
        <f>D8+E7</f>
        <v>12</v>
      </c>
      <c r="F8" s="110">
        <f>E8+F7</f>
        <v>18</v>
      </c>
      <c r="G8" s="110">
        <f>F8+G7</f>
        <v>24</v>
      </c>
      <c r="H8" s="110">
        <f>G8+H7</f>
        <v>31</v>
      </c>
      <c r="I8" s="110">
        <f>H8+I7</f>
        <v>38</v>
      </c>
      <c r="J8" s="110">
        <f>I8+J7</f>
        <v>46</v>
      </c>
      <c r="K8" s="110">
        <f>J8+K7</f>
        <v>54</v>
      </c>
      <c r="L8" s="110">
        <f>K8+L7</f>
        <v>62</v>
      </c>
      <c r="M8" s="110">
        <f>L8+M7</f>
        <v>71</v>
      </c>
      <c r="N8" s="110">
        <f>M8+N7</f>
        <v>80</v>
      </c>
      <c r="O8" s="88">
        <f>N8</f>
        <v>80</v>
      </c>
      <c r="P8" s="17" t="n"/>
    </row>
    <row r="9" ht="20" customHeight="1">
      <c r="A9" s="36" t="inlineStr">
        <is>
          <t>Live revenue-generating units</t>
        </is>
      </c>
      <c r="B9" s="107" t="inlineStr">
        <is>
          <t>1-month onboarding lag</t>
        </is>
      </c>
      <c r="C9" s="89" t="n">
        <v>0</v>
      </c>
      <c r="D9" s="110">
        <f>C8</f>
        <v>3</v>
      </c>
      <c r="E9" s="110">
        <f>D8</f>
        <v>7</v>
      </c>
      <c r="F9" s="110">
        <f>E8</f>
        <v>12</v>
      </c>
      <c r="G9" s="110">
        <f>F8</f>
        <v>18</v>
      </c>
      <c r="H9" s="110">
        <f>G8</f>
        <v>24</v>
      </c>
      <c r="I9" s="110">
        <f>H8</f>
        <v>31</v>
      </c>
      <c r="J9" s="110">
        <f>I8</f>
        <v>38</v>
      </c>
      <c r="K9" s="110">
        <f>J8</f>
        <v>46</v>
      </c>
      <c r="L9" s="110">
        <f>K8</f>
        <v>54</v>
      </c>
      <c r="M9" s="110">
        <f>L8</f>
        <v>62</v>
      </c>
      <c r="N9" s="110">
        <f>M8</f>
        <v>71</v>
      </c>
      <c r="O9" s="88">
        <f>N9</f>
        <v>71</v>
      </c>
      <c r="P9" s="17" t="n"/>
    </row>
    <row r="10" ht="20" customHeight="1">
      <c r="A10" s="36" t="inlineStr">
        <is>
          <t>Operations headcount required</t>
        </is>
      </c>
      <c r="B10" s="107" t="inlineStr">
        <is>
          <t>Max(minimum, live units / ratio)</t>
        </is>
      </c>
      <c r="C10" s="110">
        <f>MAX(Assumptions!$F$19,ROUNDUP(C9/Assumptions!$F$20,0))</f>
        <v>1</v>
      </c>
      <c r="D10" s="110">
        <f>MAX(Assumptions!$F$19,ROUNDUP(D9/Assumptions!$F$20,0))</f>
        <v>1</v>
      </c>
      <c r="E10" s="110">
        <f>MAX(Assumptions!$F$19,ROUNDUP(E9/Assumptions!$F$20,0))</f>
        <v>1</v>
      </c>
      <c r="F10" s="110">
        <f>MAX(Assumptions!$F$19,ROUNDUP(F9/Assumptions!$F$20,0))</f>
        <v>1</v>
      </c>
      <c r="G10" s="110">
        <f>MAX(Assumptions!$F$19,ROUNDUP(G9/Assumptions!$F$20,0))</f>
        <v>1</v>
      </c>
      <c r="H10" s="110">
        <f>MAX(Assumptions!$F$19,ROUNDUP(H9/Assumptions!$F$20,0))</f>
        <v>1</v>
      </c>
      <c r="I10" s="110">
        <f>MAX(Assumptions!$F$19,ROUNDUP(I9/Assumptions!$F$20,0))</f>
        <v>1</v>
      </c>
      <c r="J10" s="110">
        <f>MAX(Assumptions!$F$19,ROUNDUP(J9/Assumptions!$F$20,0))</f>
        <v>2</v>
      </c>
      <c r="K10" s="110">
        <f>MAX(Assumptions!$F$19,ROUNDUP(K9/Assumptions!$F$20,0))</f>
        <v>2</v>
      </c>
      <c r="L10" s="110">
        <f>MAX(Assumptions!$F$19,ROUNDUP(L9/Assumptions!$F$20,0))</f>
        <v>2</v>
      </c>
      <c r="M10" s="110">
        <f>MAX(Assumptions!$F$19,ROUNDUP(M9/Assumptions!$F$20,0))</f>
        <v>2</v>
      </c>
      <c r="N10" s="110">
        <f>MAX(Assumptions!$F$19,ROUNDUP(N9/Assumptions!$F$20,0))</f>
        <v>3</v>
      </c>
      <c r="O10" s="87">
        <f>AVERAGE(C10:N10)</f>
        <v>1.5</v>
      </c>
      <c r="P10" s="17" t="n"/>
    </row>
    <row r="11" ht="20" customHeight="1">
      <c r="A11" s="36" t="inlineStr">
        <is>
          <t>Gross booking revenue (portfolio)</t>
        </is>
      </c>
      <c r="B11" s="107" t="inlineStr">
        <is>
          <t>Live units x gross rev/unit</t>
        </is>
      </c>
      <c r="C11" s="22">
        <f>C9*Assumptions!$F$14</f>
        <v>0</v>
      </c>
      <c r="D11" s="22">
        <f>D9*Assumptions!$F$14</f>
        <v>30780</v>
      </c>
      <c r="E11" s="22">
        <f>E9*Assumptions!$F$14</f>
        <v>71820</v>
      </c>
      <c r="F11" s="22">
        <f>F9*Assumptions!$F$14</f>
        <v>123120</v>
      </c>
      <c r="G11" s="22">
        <f>G9*Assumptions!$F$14</f>
        <v>184680</v>
      </c>
      <c r="H11" s="22">
        <f>H9*Assumptions!$F$14</f>
        <v>246240</v>
      </c>
      <c r="I11" s="22">
        <f>I9*Assumptions!$F$14</f>
        <v>318060</v>
      </c>
      <c r="J11" s="22">
        <f>J9*Assumptions!$F$14</f>
        <v>389880</v>
      </c>
      <c r="K11" s="22">
        <f>K9*Assumptions!$F$14</f>
        <v>471960</v>
      </c>
      <c r="L11" s="22">
        <f>L9*Assumptions!$F$14</f>
        <v>554040</v>
      </c>
      <c r="M11" s="22">
        <f>M9*Assumptions!$F$14</f>
        <v>636120</v>
      </c>
      <c r="N11" s="22">
        <f>N9*Assumptions!$F$14</f>
        <v>728460</v>
      </c>
      <c r="O11" s="84">
        <f>SUM(C11:N11)</f>
        <v>3755160</v>
      </c>
      <c r="P11" s="17" t="n"/>
    </row>
    <row r="12" ht="20" customHeight="1">
      <c r="A12" s="36" t="inlineStr">
        <is>
          <t>Orizuru management fee revenue</t>
        </is>
      </c>
      <c r="B12" s="107" t="inlineStr">
        <is>
          <t>Gross x management fee %</t>
        </is>
      </c>
      <c r="C12" s="22">
        <f>C11*Assumptions!$F$15</f>
        <v>0</v>
      </c>
      <c r="D12" s="22">
        <f>D11*Assumptions!$F$15</f>
        <v>6156</v>
      </c>
      <c r="E12" s="22">
        <f>E11*Assumptions!$F$15</f>
        <v>14364</v>
      </c>
      <c r="F12" s="22">
        <f>F11*Assumptions!$F$15</f>
        <v>24624</v>
      </c>
      <c r="G12" s="22">
        <f>G11*Assumptions!$F$15</f>
        <v>36936</v>
      </c>
      <c r="H12" s="22">
        <f>H11*Assumptions!$F$15</f>
        <v>49248</v>
      </c>
      <c r="I12" s="22">
        <f>I11*Assumptions!$F$15</f>
        <v>63612</v>
      </c>
      <c r="J12" s="22">
        <f>J11*Assumptions!$F$15</f>
        <v>77976</v>
      </c>
      <c r="K12" s="22">
        <f>K11*Assumptions!$F$15</f>
        <v>94392</v>
      </c>
      <c r="L12" s="22">
        <f>L11*Assumptions!$F$15</f>
        <v>110808</v>
      </c>
      <c r="M12" s="22">
        <f>M11*Assumptions!$F$15</f>
        <v>127224</v>
      </c>
      <c r="N12" s="22">
        <f>N11*Assumptions!$F$15</f>
        <v>145692</v>
      </c>
      <c r="O12" s="84">
        <f>SUM(C12:N12)</f>
        <v>751032</v>
      </c>
      <c r="P12" s="17" t="n"/>
    </row>
    <row r="13" ht="20" customHeight="1">
      <c r="A13" s="111" t="inlineStr">
        <is>
          <t>Option 1 active (1/0)</t>
        </is>
      </c>
      <c r="B13" s="107" t="inlineStr">
        <is>
          <t>Both run M1–M2 per management</t>
        </is>
      </c>
      <c r="C13" s="112">
        <f>IF(OR(C6&lt;=Assumptions!$B$7,Assumptions!$B$6="Option 1",Assumptions!$B$6="Both"),1,0)</f>
        <v>1</v>
      </c>
      <c r="D13" s="112">
        <f>IF(OR(D6&lt;=Assumptions!$B$7,Assumptions!$B$6="Option 1",Assumptions!$B$6="Both"),1,0)</f>
        <v>1</v>
      </c>
      <c r="E13" s="112">
        <f>IF(OR(E6&lt;=Assumptions!$B$7,Assumptions!$B$6="Option 1",Assumptions!$B$6="Both"),1,0)</f>
        <v>0</v>
      </c>
      <c r="F13" s="112">
        <f>IF(OR(F6&lt;=Assumptions!$B$7,Assumptions!$B$6="Option 1",Assumptions!$B$6="Both"),1,0)</f>
        <v>0</v>
      </c>
      <c r="G13" s="112">
        <f>IF(OR(G6&lt;=Assumptions!$B$7,Assumptions!$B$6="Option 1",Assumptions!$B$6="Both"),1,0)</f>
        <v>0</v>
      </c>
      <c r="H13" s="112">
        <f>IF(OR(H6&lt;=Assumptions!$B$7,Assumptions!$B$6="Option 1",Assumptions!$B$6="Both"),1,0)</f>
        <v>0</v>
      </c>
      <c r="I13" s="112">
        <f>IF(OR(I6&lt;=Assumptions!$B$7,Assumptions!$B$6="Option 1",Assumptions!$B$6="Both"),1,0)</f>
        <v>0</v>
      </c>
      <c r="J13" s="112">
        <f>IF(OR(J6&lt;=Assumptions!$B$7,Assumptions!$B$6="Option 1",Assumptions!$B$6="Both"),1,0)</f>
        <v>0</v>
      </c>
      <c r="K13" s="112">
        <f>IF(OR(K6&lt;=Assumptions!$B$7,Assumptions!$B$6="Option 1",Assumptions!$B$6="Both"),1,0)</f>
        <v>0</v>
      </c>
      <c r="L13" s="112">
        <f>IF(OR(L6&lt;=Assumptions!$B$7,Assumptions!$B$6="Option 1",Assumptions!$B$6="Both"),1,0)</f>
        <v>0</v>
      </c>
      <c r="M13" s="112">
        <f>IF(OR(M6&lt;=Assumptions!$B$7,Assumptions!$B$6="Option 1",Assumptions!$B$6="Both"),1,0)</f>
        <v>0</v>
      </c>
      <c r="N13" s="112">
        <f>IF(OR(N6&lt;=Assumptions!$B$7,Assumptions!$B$6="Option 1",Assumptions!$B$6="Both"),1,0)</f>
        <v>0</v>
      </c>
      <c r="O13" s="17" t="n"/>
      <c r="P13" s="17" t="n"/>
    </row>
    <row r="14" ht="20" customHeight="1">
      <c r="A14" s="111" t="inlineStr">
        <is>
          <t>Option 2 active (1/0)</t>
        </is>
      </c>
      <c r="B14" s="107" t="inlineStr">
        <is>
          <t>Both run M1–M2 per management</t>
        </is>
      </c>
      <c r="C14" s="112">
        <f>IF(OR(C6&lt;=Assumptions!$B$7,Assumptions!$B$6="Option 2",Assumptions!$B$6="Both"),1,0)</f>
        <v>1</v>
      </c>
      <c r="D14" s="112">
        <f>IF(OR(D6&lt;=Assumptions!$B$7,Assumptions!$B$6="Option 2",Assumptions!$B$6="Both"),1,0)</f>
        <v>1</v>
      </c>
      <c r="E14" s="112">
        <f>IF(OR(E6&lt;=Assumptions!$B$7,Assumptions!$B$6="Option 2",Assumptions!$B$6="Both"),1,0)</f>
        <v>1</v>
      </c>
      <c r="F14" s="112">
        <f>IF(OR(F6&lt;=Assumptions!$B$7,Assumptions!$B$6="Option 2",Assumptions!$B$6="Both"),1,0)</f>
        <v>1</v>
      </c>
      <c r="G14" s="112">
        <f>IF(OR(G6&lt;=Assumptions!$B$7,Assumptions!$B$6="Option 2",Assumptions!$B$6="Both"),1,0)</f>
        <v>1</v>
      </c>
      <c r="H14" s="112">
        <f>IF(OR(H6&lt;=Assumptions!$B$7,Assumptions!$B$6="Option 2",Assumptions!$B$6="Both"),1,0)</f>
        <v>1</v>
      </c>
      <c r="I14" s="112">
        <f>IF(OR(I6&lt;=Assumptions!$B$7,Assumptions!$B$6="Option 2",Assumptions!$B$6="Both"),1,0)</f>
        <v>1</v>
      </c>
      <c r="J14" s="112">
        <f>IF(OR(J6&lt;=Assumptions!$B$7,Assumptions!$B$6="Option 2",Assumptions!$B$6="Both"),1,0)</f>
        <v>1</v>
      </c>
      <c r="K14" s="112">
        <f>IF(OR(K6&lt;=Assumptions!$B$7,Assumptions!$B$6="Option 2",Assumptions!$B$6="Both"),1,0)</f>
        <v>1</v>
      </c>
      <c r="L14" s="112">
        <f>IF(OR(L6&lt;=Assumptions!$B$7,Assumptions!$B$6="Option 2",Assumptions!$B$6="Both"),1,0)</f>
        <v>1</v>
      </c>
      <c r="M14" s="112">
        <f>IF(OR(M6&lt;=Assumptions!$B$7,Assumptions!$B$6="Option 2",Assumptions!$B$6="Both"),1,0)</f>
        <v>1</v>
      </c>
      <c r="N14" s="112">
        <f>IF(OR(N6&lt;=Assumptions!$B$7,Assumptions!$B$6="Option 2",Assumptions!$B$6="Both"),1,0)</f>
        <v>1</v>
      </c>
      <c r="O14" s="17" t="n"/>
      <c r="P14" s="17" t="n"/>
    </row>
    <row r="16" ht="18" customHeight="1">
      <c r="A16" s="4" t="inlineStr">
        <is>
          <t>A.  STAFF COSTS  —  DUBAI</t>
        </is>
      </c>
      <c r="B16" s="5" t="n"/>
      <c r="C16" s="5" t="n"/>
      <c r="D16" s="5" t="n"/>
      <c r="E16" s="5" t="n"/>
      <c r="F16" s="5" t="n"/>
      <c r="G16" s="5" t="n"/>
      <c r="H16" s="5" t="n"/>
      <c r="I16" s="5" t="n"/>
      <c r="J16" s="5" t="n"/>
      <c r="K16" s="5" t="n"/>
      <c r="L16" s="5" t="n"/>
      <c r="M16" s="5" t="n"/>
      <c r="N16" s="5" t="n"/>
      <c r="O16" s="5" t="n"/>
      <c r="P16" s="5" t="n"/>
    </row>
    <row r="17" ht="20" customHeight="1">
      <c r="A17" s="36" t="inlineStr">
        <is>
          <t>Directors' salary</t>
        </is>
      </c>
      <c r="B17" s="107" t="inlineStr">
        <is>
          <t>Per management — nil</t>
        </is>
      </c>
      <c r="C17" s="22">
        <f>Assumptions!$F$18</f>
        <v>0</v>
      </c>
      <c r="D17" s="22">
        <f>Assumptions!$F$18</f>
        <v>0</v>
      </c>
      <c r="E17" s="22">
        <f>Assumptions!$F$18</f>
        <v>0</v>
      </c>
      <c r="F17" s="22">
        <f>Assumptions!$F$18</f>
        <v>0</v>
      </c>
      <c r="G17" s="22">
        <f>Assumptions!$F$18</f>
        <v>0</v>
      </c>
      <c r="H17" s="22">
        <f>Assumptions!$F$18</f>
        <v>0</v>
      </c>
      <c r="I17" s="22">
        <f>Assumptions!$F$18</f>
        <v>0</v>
      </c>
      <c r="J17" s="22">
        <f>Assumptions!$F$18</f>
        <v>0</v>
      </c>
      <c r="K17" s="22">
        <f>Assumptions!$F$18</f>
        <v>0</v>
      </c>
      <c r="L17" s="22">
        <f>Assumptions!$F$18</f>
        <v>0</v>
      </c>
      <c r="M17" s="22">
        <f>Assumptions!$F$18</f>
        <v>0</v>
      </c>
      <c r="N17" s="22">
        <f>Assumptions!$F$18</f>
        <v>0</v>
      </c>
      <c r="O17" s="84">
        <f>SUM(C17:N17)</f>
        <v>0</v>
      </c>
      <c r="P17" s="17" t="n"/>
    </row>
    <row r="18" ht="20" customHeight="1">
      <c r="A18" s="36" t="inlineStr">
        <is>
          <t>Operations &amp; service staff</t>
        </is>
      </c>
      <c r="B18" s="107" t="inlineStr">
        <is>
          <t>Headcount x AED 3,000, scaling with units</t>
        </is>
      </c>
      <c r="C18" s="22">
        <f>C10*Assumptions!$F$21</f>
        <v>3000</v>
      </c>
      <c r="D18" s="22">
        <f>D10*Assumptions!$F$21</f>
        <v>3000</v>
      </c>
      <c r="E18" s="22">
        <f>E10*Assumptions!$F$21</f>
        <v>3000</v>
      </c>
      <c r="F18" s="22">
        <f>F10*Assumptions!$F$21</f>
        <v>3000</v>
      </c>
      <c r="G18" s="22">
        <f>G10*Assumptions!$F$21</f>
        <v>3000</v>
      </c>
      <c r="H18" s="22">
        <f>H10*Assumptions!$F$21</f>
        <v>3000</v>
      </c>
      <c r="I18" s="22">
        <f>I10*Assumptions!$F$21</f>
        <v>3000</v>
      </c>
      <c r="J18" s="22">
        <f>J10*Assumptions!$F$21</f>
        <v>6000</v>
      </c>
      <c r="K18" s="22">
        <f>K10*Assumptions!$F$21</f>
        <v>6000</v>
      </c>
      <c r="L18" s="22">
        <f>L10*Assumptions!$F$21</f>
        <v>6000</v>
      </c>
      <c r="M18" s="22">
        <f>M10*Assumptions!$F$21</f>
        <v>6000</v>
      </c>
      <c r="N18" s="22">
        <f>N10*Assumptions!$F$21</f>
        <v>9000</v>
      </c>
      <c r="O18" s="84">
        <f>SUM(C18:N18)</f>
        <v>54000</v>
      </c>
      <c r="P18" s="17" t="n"/>
    </row>
    <row r="19" ht="20" customHeight="1">
      <c r="A19" s="36" t="inlineStr">
        <is>
          <t>Staff visa, medical insurance &amp; EID (accrual)</t>
        </is>
      </c>
      <c r="B19" s="107" t="inlineStr">
        <is>
          <t>Per UAE employee</t>
        </is>
      </c>
      <c r="C19" s="22">
        <f>C10*Assumptions!$F$22</f>
        <v>380</v>
      </c>
      <c r="D19" s="22">
        <f>D10*Assumptions!$F$22</f>
        <v>380</v>
      </c>
      <c r="E19" s="22">
        <f>E10*Assumptions!$F$22</f>
        <v>380</v>
      </c>
      <c r="F19" s="22">
        <f>F10*Assumptions!$F$22</f>
        <v>380</v>
      </c>
      <c r="G19" s="22">
        <f>G10*Assumptions!$F$22</f>
        <v>380</v>
      </c>
      <c r="H19" s="22">
        <f>H10*Assumptions!$F$22</f>
        <v>380</v>
      </c>
      <c r="I19" s="22">
        <f>I10*Assumptions!$F$22</f>
        <v>380</v>
      </c>
      <c r="J19" s="22">
        <f>J10*Assumptions!$F$22</f>
        <v>760</v>
      </c>
      <c r="K19" s="22">
        <f>K10*Assumptions!$F$22</f>
        <v>760</v>
      </c>
      <c r="L19" s="22">
        <f>L10*Assumptions!$F$22</f>
        <v>760</v>
      </c>
      <c r="M19" s="22">
        <f>M10*Assumptions!$F$22</f>
        <v>760</v>
      </c>
      <c r="N19" s="22">
        <f>N10*Assumptions!$F$22</f>
        <v>1140</v>
      </c>
      <c r="O19" s="84">
        <f>SUM(C19:N19)</f>
        <v>6840</v>
      </c>
      <c r="P19" s="17" t="n"/>
    </row>
    <row r="20" ht="20" customHeight="1">
      <c r="A20" s="36" t="inlineStr">
        <is>
          <t>End-of-service gratuity accrual</t>
        </is>
      </c>
      <c r="B20" s="107" t="inlineStr">
        <is>
          <t>5.8% of salary</t>
        </is>
      </c>
      <c r="C20" s="22">
        <f>C18*Assumptions!$F$23</f>
        <v>174</v>
      </c>
      <c r="D20" s="22">
        <f>D18*Assumptions!$F$23</f>
        <v>174</v>
      </c>
      <c r="E20" s="22">
        <f>E18*Assumptions!$F$23</f>
        <v>174</v>
      </c>
      <c r="F20" s="22">
        <f>F18*Assumptions!$F$23</f>
        <v>174</v>
      </c>
      <c r="G20" s="22">
        <f>G18*Assumptions!$F$23</f>
        <v>174</v>
      </c>
      <c r="H20" s="22">
        <f>H18*Assumptions!$F$23</f>
        <v>174</v>
      </c>
      <c r="I20" s="22">
        <f>I18*Assumptions!$F$23</f>
        <v>174</v>
      </c>
      <c r="J20" s="22">
        <f>J18*Assumptions!$F$23</f>
        <v>348</v>
      </c>
      <c r="K20" s="22">
        <f>K18*Assumptions!$F$23</f>
        <v>348</v>
      </c>
      <c r="L20" s="22">
        <f>L18*Assumptions!$F$23</f>
        <v>348</v>
      </c>
      <c r="M20" s="22">
        <f>M18*Assumptions!$F$23</f>
        <v>348</v>
      </c>
      <c r="N20" s="22">
        <f>N18*Assumptions!$F$23</f>
        <v>522</v>
      </c>
      <c r="O20" s="84">
        <f>SUM(C20:N20)</f>
        <v>3132</v>
      </c>
      <c r="P20" s="17" t="n"/>
    </row>
    <row r="21" ht="20" customHeight="1">
      <c r="A21" s="36" t="inlineStr">
        <is>
          <t>WPS / payroll processing</t>
        </is>
      </c>
      <c r="B21" s="107" t="inlineStr">
        <is>
          <t>Per employee</t>
        </is>
      </c>
      <c r="C21" s="22">
        <f>C10*Assumptions!$F$24</f>
        <v>15</v>
      </c>
      <c r="D21" s="22">
        <f>D10*Assumptions!$F$24</f>
        <v>15</v>
      </c>
      <c r="E21" s="22">
        <f>E10*Assumptions!$F$24</f>
        <v>15</v>
      </c>
      <c r="F21" s="22">
        <f>F10*Assumptions!$F$24</f>
        <v>15</v>
      </c>
      <c r="G21" s="22">
        <f>G10*Assumptions!$F$24</f>
        <v>15</v>
      </c>
      <c r="H21" s="22">
        <f>H10*Assumptions!$F$24</f>
        <v>15</v>
      </c>
      <c r="I21" s="22">
        <f>I10*Assumptions!$F$24</f>
        <v>15</v>
      </c>
      <c r="J21" s="22">
        <f>J10*Assumptions!$F$24</f>
        <v>30</v>
      </c>
      <c r="K21" s="22">
        <f>K10*Assumptions!$F$24</f>
        <v>30</v>
      </c>
      <c r="L21" s="22">
        <f>L10*Assumptions!$F$24</f>
        <v>30</v>
      </c>
      <c r="M21" s="22">
        <f>M10*Assumptions!$F$24</f>
        <v>30</v>
      </c>
      <c r="N21" s="22">
        <f>N10*Assumptions!$F$24</f>
        <v>45</v>
      </c>
      <c r="O21" s="84">
        <f>SUM(C21:N21)</f>
        <v>270</v>
      </c>
      <c r="P21" s="17" t="n"/>
    </row>
    <row r="22">
      <c r="A22" s="61" t="inlineStr">
        <is>
          <t>TOTAL STAFF COSTS</t>
        </is>
      </c>
      <c r="B22" s="30" t="n"/>
      <c r="C22" s="31">
        <f>SUM(C17:C21)</f>
        <v>3569</v>
      </c>
      <c r="D22" s="31">
        <f>SUM(D17:D21)</f>
        <v>3569</v>
      </c>
      <c r="E22" s="31">
        <f>SUM(E17:E21)</f>
        <v>3569</v>
      </c>
      <c r="F22" s="31">
        <f>SUM(F17:F21)</f>
        <v>3569</v>
      </c>
      <c r="G22" s="31">
        <f>SUM(G17:G21)</f>
        <v>3569</v>
      </c>
      <c r="H22" s="31">
        <f>SUM(H17:H21)</f>
        <v>3569</v>
      </c>
      <c r="I22" s="31">
        <f>SUM(I17:I21)</f>
        <v>3569</v>
      </c>
      <c r="J22" s="31">
        <f>SUM(J17:J21)</f>
        <v>7138</v>
      </c>
      <c r="K22" s="31">
        <f>SUM(K17:K21)</f>
        <v>7138</v>
      </c>
      <c r="L22" s="31">
        <f>SUM(L17:L21)</f>
        <v>7138</v>
      </c>
      <c r="M22" s="31">
        <f>SUM(M17:M21)</f>
        <v>7138</v>
      </c>
      <c r="N22" s="31">
        <f>SUM(N17:N21)</f>
        <v>10707</v>
      </c>
      <c r="O22" s="31">
        <f>SUM(C22:N22)</f>
        <v>64242</v>
      </c>
      <c r="P22" s="113">
        <f>IF($O$87=0,0,$O22/$O$87)</f>
        <v>0.09000781616627765</v>
      </c>
    </row>
    <row r="24" ht="18" customHeight="1">
      <c r="A24" s="4" t="inlineStr">
        <is>
          <t>B.  MARKETING  —  OPTION 1: FULLY ONLINE  (switches off after M2 unless adopted)</t>
        </is>
      </c>
      <c r="B24" s="5" t="n"/>
      <c r="C24" s="5" t="n"/>
      <c r="D24" s="5" t="n"/>
      <c r="E24" s="5" t="n"/>
      <c r="F24" s="5" t="n"/>
      <c r="G24" s="5" t="n"/>
      <c r="H24" s="5" t="n"/>
      <c r="I24" s="5" t="n"/>
      <c r="J24" s="5" t="n"/>
      <c r="K24" s="5" t="n"/>
      <c r="L24" s="5" t="n"/>
      <c r="M24" s="5" t="n"/>
      <c r="N24" s="5" t="n"/>
      <c r="O24" s="5" t="n"/>
      <c r="P24" s="5" t="n"/>
    </row>
    <row r="25" ht="20" customHeight="1">
      <c r="A25" s="36" t="inlineStr">
        <is>
          <t>Option 1 — team cost</t>
        </is>
      </c>
      <c r="B25" s="107" t="inlineStr">
        <is>
          <t>Headcount x rate</t>
        </is>
      </c>
      <c r="C25" s="114">
        <f>C13*Assumptions!$F$26*Assumptions!$F$27</f>
        <v>1800</v>
      </c>
      <c r="D25" s="114">
        <f>D13*Assumptions!$F$26*Assumptions!$F$27</f>
        <v>1800</v>
      </c>
      <c r="E25" s="114">
        <f>E13*Assumptions!$F$26*Assumptions!$F$27</f>
        <v>0</v>
      </c>
      <c r="F25" s="114">
        <f>F13*Assumptions!$F$26*Assumptions!$F$27</f>
        <v>0</v>
      </c>
      <c r="G25" s="114">
        <f>G13*Assumptions!$F$26*Assumptions!$F$27</f>
        <v>0</v>
      </c>
      <c r="H25" s="114">
        <f>H13*Assumptions!$F$26*Assumptions!$F$27</f>
        <v>0</v>
      </c>
      <c r="I25" s="114">
        <f>I13*Assumptions!$F$26*Assumptions!$F$27</f>
        <v>0</v>
      </c>
      <c r="J25" s="114">
        <f>J13*Assumptions!$F$26*Assumptions!$F$27</f>
        <v>0</v>
      </c>
      <c r="K25" s="114">
        <f>K13*Assumptions!$F$26*Assumptions!$F$27</f>
        <v>0</v>
      </c>
      <c r="L25" s="114">
        <f>L13*Assumptions!$F$26*Assumptions!$F$27</f>
        <v>0</v>
      </c>
      <c r="M25" s="114">
        <f>M13*Assumptions!$F$26*Assumptions!$F$27</f>
        <v>0</v>
      </c>
      <c r="N25" s="114">
        <f>N13*Assumptions!$F$26*Assumptions!$F$27</f>
        <v>0</v>
      </c>
      <c r="O25" s="84">
        <f>SUM(C25:N25)</f>
        <v>3600</v>
      </c>
      <c r="P25" s="17" t="n"/>
    </row>
    <row r="26" ht="20" customHeight="1">
      <c r="A26" s="36" t="inlineStr">
        <is>
          <t>Option 1 — digital ads &amp; lead generation</t>
        </is>
      </c>
      <c r="B26" s="107" t="inlineStr"/>
      <c r="C26" s="114">
        <f>C13*Assumptions!$F$28</f>
        <v>1500</v>
      </c>
      <c r="D26" s="114">
        <f>D13*Assumptions!$F$28</f>
        <v>1500</v>
      </c>
      <c r="E26" s="114">
        <f>E13*Assumptions!$F$28</f>
        <v>0</v>
      </c>
      <c r="F26" s="114">
        <f>F13*Assumptions!$F$28</f>
        <v>0</v>
      </c>
      <c r="G26" s="114">
        <f>G13*Assumptions!$F$28</f>
        <v>0</v>
      </c>
      <c r="H26" s="114">
        <f>H13*Assumptions!$F$28</f>
        <v>0</v>
      </c>
      <c r="I26" s="114">
        <f>I13*Assumptions!$F$28</f>
        <v>0</v>
      </c>
      <c r="J26" s="114">
        <f>J13*Assumptions!$F$28</f>
        <v>0</v>
      </c>
      <c r="K26" s="114">
        <f>K13*Assumptions!$F$28</f>
        <v>0</v>
      </c>
      <c r="L26" s="114">
        <f>L13*Assumptions!$F$28</f>
        <v>0</v>
      </c>
      <c r="M26" s="114">
        <f>M13*Assumptions!$F$28</f>
        <v>0</v>
      </c>
      <c r="N26" s="114">
        <f>N13*Assumptions!$F$28</f>
        <v>0</v>
      </c>
      <c r="O26" s="84">
        <f>SUM(C26:N26)</f>
        <v>3000</v>
      </c>
      <c r="P26" s="17" t="n"/>
    </row>
    <row r="27" ht="20" customHeight="1">
      <c r="A27" s="36" t="inlineStr">
        <is>
          <t>Option 1 — outreach tooling &amp; CRM</t>
        </is>
      </c>
      <c r="B27" s="107" t="inlineStr"/>
      <c r="C27" s="114">
        <f>C13*Assumptions!$F$29</f>
        <v>280</v>
      </c>
      <c r="D27" s="114">
        <f>D13*Assumptions!$F$29</f>
        <v>280</v>
      </c>
      <c r="E27" s="114">
        <f>E13*Assumptions!$F$29</f>
        <v>0</v>
      </c>
      <c r="F27" s="114">
        <f>F13*Assumptions!$F$29</f>
        <v>0</v>
      </c>
      <c r="G27" s="114">
        <f>G13*Assumptions!$F$29</f>
        <v>0</v>
      </c>
      <c r="H27" s="114">
        <f>H13*Assumptions!$F$29</f>
        <v>0</v>
      </c>
      <c r="I27" s="114">
        <f>I13*Assumptions!$F$29</f>
        <v>0</v>
      </c>
      <c r="J27" s="114">
        <f>J13*Assumptions!$F$29</f>
        <v>0</v>
      </c>
      <c r="K27" s="114">
        <f>K13*Assumptions!$F$29</f>
        <v>0</v>
      </c>
      <c r="L27" s="114">
        <f>L13*Assumptions!$F$29</f>
        <v>0</v>
      </c>
      <c r="M27" s="114">
        <f>M13*Assumptions!$F$29</f>
        <v>0</v>
      </c>
      <c r="N27" s="114">
        <f>N13*Assumptions!$F$29</f>
        <v>0</v>
      </c>
      <c r="O27" s="84">
        <f>SUM(C27:N27)</f>
        <v>560</v>
      </c>
      <c r="P27" s="17" t="n"/>
    </row>
    <row r="28" ht="20" customHeight="1">
      <c r="A28" s="36" t="inlineStr">
        <is>
          <t>Option 1 — coordination &amp; QA</t>
        </is>
      </c>
      <c r="B28" s="107" t="inlineStr"/>
      <c r="C28" s="114">
        <f>C13*Assumptions!$F$30</f>
        <v>300</v>
      </c>
      <c r="D28" s="114">
        <f>D13*Assumptions!$F$30</f>
        <v>300</v>
      </c>
      <c r="E28" s="114">
        <f>E13*Assumptions!$F$30</f>
        <v>0</v>
      </c>
      <c r="F28" s="114">
        <f>F13*Assumptions!$F$30</f>
        <v>0</v>
      </c>
      <c r="G28" s="114">
        <f>G13*Assumptions!$F$30</f>
        <v>0</v>
      </c>
      <c r="H28" s="114">
        <f>H13*Assumptions!$F$30</f>
        <v>0</v>
      </c>
      <c r="I28" s="114">
        <f>I13*Assumptions!$F$30</f>
        <v>0</v>
      </c>
      <c r="J28" s="114">
        <f>J13*Assumptions!$F$30</f>
        <v>0</v>
      </c>
      <c r="K28" s="114">
        <f>K13*Assumptions!$F$30</f>
        <v>0</v>
      </c>
      <c r="L28" s="114">
        <f>L13*Assumptions!$F$30</f>
        <v>0</v>
      </c>
      <c r="M28" s="114">
        <f>M13*Assumptions!$F$30</f>
        <v>0</v>
      </c>
      <c r="N28" s="114">
        <f>N13*Assumptions!$F$30</f>
        <v>0</v>
      </c>
      <c r="O28" s="84">
        <f>SUM(C28:N28)</f>
        <v>600</v>
      </c>
      <c r="P28" s="17" t="n"/>
    </row>
    <row r="29">
      <c r="A29" s="61" t="inlineStr">
        <is>
          <t>TOTAL — MARKETING OPTION 1</t>
        </is>
      </c>
      <c r="B29" s="30" t="n"/>
      <c r="C29" s="31">
        <f>SUM(C25:C28)</f>
        <v>3880</v>
      </c>
      <c r="D29" s="31">
        <f>SUM(D25:D28)</f>
        <v>3880</v>
      </c>
      <c r="E29" s="31">
        <f>SUM(E25:E28)</f>
        <v>0</v>
      </c>
      <c r="F29" s="31">
        <f>SUM(F25:F28)</f>
        <v>0</v>
      </c>
      <c r="G29" s="31">
        <f>SUM(G25:G28)</f>
        <v>0</v>
      </c>
      <c r="H29" s="31">
        <f>SUM(H25:H28)</f>
        <v>0</v>
      </c>
      <c r="I29" s="31">
        <f>SUM(I25:I28)</f>
        <v>0</v>
      </c>
      <c r="J29" s="31">
        <f>SUM(J25:J28)</f>
        <v>0</v>
      </c>
      <c r="K29" s="31">
        <f>SUM(K25:K28)</f>
        <v>0</v>
      </c>
      <c r="L29" s="31">
        <f>SUM(L25:L28)</f>
        <v>0</v>
      </c>
      <c r="M29" s="31">
        <f>SUM(M25:M28)</f>
        <v>0</v>
      </c>
      <c r="N29" s="31">
        <f>SUM(N25:N28)</f>
        <v>0</v>
      </c>
      <c r="O29" s="31">
        <f>SUM(C29:N29)</f>
        <v>7760</v>
      </c>
      <c r="P29" s="113">
        <f>IF($O$87=0,0,$O29/$O$87)</f>
        <v>0.010872336687063206</v>
      </c>
    </row>
    <row r="31" ht="18" customHeight="1">
      <c r="A31" s="4" t="inlineStr">
        <is>
          <t>C.  MARKETING  —  OPTION 2: REMOTE OFFICE OUTSIDE UAE  (switches off after M2 unless adopted)</t>
        </is>
      </c>
      <c r="B31" s="5" t="n"/>
      <c r="C31" s="5" t="n"/>
      <c r="D31" s="5" t="n"/>
      <c r="E31" s="5" t="n"/>
      <c r="F31" s="5" t="n"/>
      <c r="G31" s="5" t="n"/>
      <c r="H31" s="5" t="n"/>
      <c r="I31" s="5" t="n"/>
      <c r="J31" s="5" t="n"/>
      <c r="K31" s="5" t="n"/>
      <c r="L31" s="5" t="n"/>
      <c r="M31" s="5" t="n"/>
      <c r="N31" s="5" t="n"/>
      <c r="O31" s="5" t="n"/>
      <c r="P31" s="5" t="n"/>
    </row>
    <row r="32" ht="20" customHeight="1">
      <c r="A32" s="36" t="inlineStr">
        <is>
          <t>Option 2 — team cost</t>
        </is>
      </c>
      <c r="B32" s="107" t="inlineStr">
        <is>
          <t>Headcount x rate</t>
        </is>
      </c>
      <c r="C32" s="115">
        <f>C14*Assumptions!$F$32*Assumptions!$F$33</f>
        <v>1200</v>
      </c>
      <c r="D32" s="115">
        <f>D14*Assumptions!$F$32*Assumptions!$F$33</f>
        <v>1200</v>
      </c>
      <c r="E32" s="115">
        <f>E14*Assumptions!$F$32*Assumptions!$F$33</f>
        <v>1200</v>
      </c>
      <c r="F32" s="115">
        <f>F14*Assumptions!$F$32*Assumptions!$F$33</f>
        <v>1200</v>
      </c>
      <c r="G32" s="115">
        <f>G14*Assumptions!$F$32*Assumptions!$F$33</f>
        <v>1200</v>
      </c>
      <c r="H32" s="115">
        <f>H14*Assumptions!$F$32*Assumptions!$F$33</f>
        <v>1200</v>
      </c>
      <c r="I32" s="115">
        <f>I14*Assumptions!$F$32*Assumptions!$F$33</f>
        <v>1200</v>
      </c>
      <c r="J32" s="115">
        <f>J14*Assumptions!$F$32*Assumptions!$F$33</f>
        <v>1200</v>
      </c>
      <c r="K32" s="115">
        <f>K14*Assumptions!$F$32*Assumptions!$F$33</f>
        <v>1200</v>
      </c>
      <c r="L32" s="115">
        <f>L14*Assumptions!$F$32*Assumptions!$F$33</f>
        <v>1200</v>
      </c>
      <c r="M32" s="115">
        <f>M14*Assumptions!$F$32*Assumptions!$F$33</f>
        <v>1200</v>
      </c>
      <c r="N32" s="115">
        <f>N14*Assumptions!$F$32*Assumptions!$F$33</f>
        <v>1200</v>
      </c>
      <c r="O32" s="84">
        <f>SUM(C32:N32)</f>
        <v>14400</v>
      </c>
      <c r="P32" s="17" t="n"/>
    </row>
    <row r="33" ht="20" customHeight="1">
      <c r="A33" s="36" t="inlineStr">
        <is>
          <t>Option 2 — coworking area rent</t>
        </is>
      </c>
      <c r="B33" s="107" t="inlineStr">
        <is>
          <t>Per management</t>
        </is>
      </c>
      <c r="C33" s="115">
        <f>C14*Assumptions!$F$34</f>
        <v>1425</v>
      </c>
      <c r="D33" s="115">
        <f>D14*Assumptions!$F$34</f>
        <v>1425</v>
      </c>
      <c r="E33" s="115">
        <f>E14*Assumptions!$F$34</f>
        <v>1425</v>
      </c>
      <c r="F33" s="115">
        <f>F14*Assumptions!$F$34</f>
        <v>1425</v>
      </c>
      <c r="G33" s="115">
        <f>G14*Assumptions!$F$34</f>
        <v>1425</v>
      </c>
      <c r="H33" s="115">
        <f>H14*Assumptions!$F$34</f>
        <v>1425</v>
      </c>
      <c r="I33" s="115">
        <f>I14*Assumptions!$F$34</f>
        <v>1425</v>
      </c>
      <c r="J33" s="115">
        <f>J14*Assumptions!$F$34</f>
        <v>1425</v>
      </c>
      <c r="K33" s="115">
        <f>K14*Assumptions!$F$34</f>
        <v>1425</v>
      </c>
      <c r="L33" s="115">
        <f>L14*Assumptions!$F$34</f>
        <v>1425</v>
      </c>
      <c r="M33" s="115">
        <f>M14*Assumptions!$F$34</f>
        <v>1425</v>
      </c>
      <c r="N33" s="115">
        <f>N14*Assumptions!$F$34</f>
        <v>1425</v>
      </c>
      <c r="O33" s="84">
        <f>SUM(C33:N33)</f>
        <v>17100</v>
      </c>
      <c r="P33" s="17" t="n"/>
    </row>
    <row r="34" ht="20" customHeight="1">
      <c r="A34" s="36" t="inlineStr">
        <is>
          <t>Option 2 — local internet, utilities &amp; equipment</t>
        </is>
      </c>
      <c r="B34" s="107" t="inlineStr">
        <is>
          <t>Not in original brief</t>
        </is>
      </c>
      <c r="C34" s="115">
        <f>C14*Assumptions!$F$35</f>
        <v>350</v>
      </c>
      <c r="D34" s="115">
        <f>D14*Assumptions!$F$35</f>
        <v>350</v>
      </c>
      <c r="E34" s="115">
        <f>E14*Assumptions!$F$35</f>
        <v>350</v>
      </c>
      <c r="F34" s="115">
        <f>F14*Assumptions!$F$35</f>
        <v>350</v>
      </c>
      <c r="G34" s="115">
        <f>G14*Assumptions!$F$35</f>
        <v>350</v>
      </c>
      <c r="H34" s="115">
        <f>H14*Assumptions!$F$35</f>
        <v>350</v>
      </c>
      <c r="I34" s="115">
        <f>I14*Assumptions!$F$35</f>
        <v>350</v>
      </c>
      <c r="J34" s="115">
        <f>J14*Assumptions!$F$35</f>
        <v>350</v>
      </c>
      <c r="K34" s="115">
        <f>K14*Assumptions!$F$35</f>
        <v>350</v>
      </c>
      <c r="L34" s="115">
        <f>L14*Assumptions!$F$35</f>
        <v>350</v>
      </c>
      <c r="M34" s="115">
        <f>M14*Assumptions!$F$35</f>
        <v>350</v>
      </c>
      <c r="N34" s="115">
        <f>N14*Assumptions!$F$35</f>
        <v>350</v>
      </c>
      <c r="O34" s="84">
        <f>SUM(C34:N34)</f>
        <v>4200</v>
      </c>
      <c r="P34" s="17" t="n"/>
    </row>
    <row r="35" ht="20" customHeight="1">
      <c r="A35" s="36" t="inlineStr">
        <is>
          <t>Option 2 — on-site supervisor / team lead</t>
        </is>
      </c>
      <c r="B35" s="107" t="inlineStr">
        <is>
          <t>Not in original brief</t>
        </is>
      </c>
      <c r="C35" s="115">
        <f>C14*Assumptions!$F$36</f>
        <v>500</v>
      </c>
      <c r="D35" s="115">
        <f>D14*Assumptions!$F$36</f>
        <v>500</v>
      </c>
      <c r="E35" s="115">
        <f>E14*Assumptions!$F$36</f>
        <v>500</v>
      </c>
      <c r="F35" s="115">
        <f>F14*Assumptions!$F$36</f>
        <v>500</v>
      </c>
      <c r="G35" s="115">
        <f>G14*Assumptions!$F$36</f>
        <v>500</v>
      </c>
      <c r="H35" s="115">
        <f>H14*Assumptions!$F$36</f>
        <v>500</v>
      </c>
      <c r="I35" s="115">
        <f>I14*Assumptions!$F$36</f>
        <v>500</v>
      </c>
      <c r="J35" s="115">
        <f>J14*Assumptions!$F$36</f>
        <v>500</v>
      </c>
      <c r="K35" s="115">
        <f>K14*Assumptions!$F$36</f>
        <v>500</v>
      </c>
      <c r="L35" s="115">
        <f>L14*Assumptions!$F$36</f>
        <v>500</v>
      </c>
      <c r="M35" s="115">
        <f>M14*Assumptions!$F$36</f>
        <v>500</v>
      </c>
      <c r="N35" s="115">
        <f>N14*Assumptions!$F$36</f>
        <v>500</v>
      </c>
      <c r="O35" s="84">
        <f>SUM(C35:N35)</f>
        <v>6000</v>
      </c>
      <c r="P35" s="17" t="n"/>
    </row>
    <row r="36" ht="20" customHeight="1">
      <c r="A36" s="36" t="inlineStr">
        <is>
          <t>Option 2 — digital ads &amp; lead generation</t>
        </is>
      </c>
      <c r="B36" s="107" t="inlineStr"/>
      <c r="C36" s="115">
        <f>C14*Assumptions!$F$37</f>
        <v>900</v>
      </c>
      <c r="D36" s="115">
        <f>D14*Assumptions!$F$37</f>
        <v>900</v>
      </c>
      <c r="E36" s="115">
        <f>E14*Assumptions!$F$37</f>
        <v>900</v>
      </c>
      <c r="F36" s="115">
        <f>F14*Assumptions!$F$37</f>
        <v>900</v>
      </c>
      <c r="G36" s="115">
        <f>G14*Assumptions!$F$37</f>
        <v>900</v>
      </c>
      <c r="H36" s="115">
        <f>H14*Assumptions!$F$37</f>
        <v>900</v>
      </c>
      <c r="I36" s="115">
        <f>I14*Assumptions!$F$37</f>
        <v>900</v>
      </c>
      <c r="J36" s="115">
        <f>J14*Assumptions!$F$37</f>
        <v>900</v>
      </c>
      <c r="K36" s="115">
        <f>K14*Assumptions!$F$37</f>
        <v>900</v>
      </c>
      <c r="L36" s="115">
        <f>L14*Assumptions!$F$37</f>
        <v>900</v>
      </c>
      <c r="M36" s="115">
        <f>M14*Assumptions!$F$37</f>
        <v>900</v>
      </c>
      <c r="N36" s="115">
        <f>N14*Assumptions!$F$37</f>
        <v>900</v>
      </c>
      <c r="O36" s="84">
        <f>SUM(C36:N36)</f>
        <v>10800</v>
      </c>
      <c r="P36" s="17" t="n"/>
    </row>
    <row r="37" ht="20" customHeight="1">
      <c r="A37" s="36" t="inlineStr">
        <is>
          <t>Option 2 — offshore contracting / compliance</t>
        </is>
      </c>
      <c r="B37" s="107" t="inlineStr">
        <is>
          <t>Not in original brief</t>
        </is>
      </c>
      <c r="C37" s="115">
        <f>C14*Assumptions!$F$38</f>
        <v>400</v>
      </c>
      <c r="D37" s="115">
        <f>D14*Assumptions!$F$38</f>
        <v>400</v>
      </c>
      <c r="E37" s="115">
        <f>E14*Assumptions!$F$38</f>
        <v>400</v>
      </c>
      <c r="F37" s="115">
        <f>F14*Assumptions!$F$38</f>
        <v>400</v>
      </c>
      <c r="G37" s="115">
        <f>G14*Assumptions!$F$38</f>
        <v>400</v>
      </c>
      <c r="H37" s="115">
        <f>H14*Assumptions!$F$38</f>
        <v>400</v>
      </c>
      <c r="I37" s="115">
        <f>I14*Assumptions!$F$38</f>
        <v>400</v>
      </c>
      <c r="J37" s="115">
        <f>J14*Assumptions!$F$38</f>
        <v>400</v>
      </c>
      <c r="K37" s="115">
        <f>K14*Assumptions!$F$38</f>
        <v>400</v>
      </c>
      <c r="L37" s="115">
        <f>L14*Assumptions!$F$38</f>
        <v>400</v>
      </c>
      <c r="M37" s="115">
        <f>M14*Assumptions!$F$38</f>
        <v>400</v>
      </c>
      <c r="N37" s="115">
        <f>N14*Assumptions!$F$38</f>
        <v>400</v>
      </c>
      <c r="O37" s="84">
        <f>SUM(C37:N37)</f>
        <v>4800</v>
      </c>
      <c r="P37" s="17" t="n"/>
    </row>
    <row r="38">
      <c r="A38" s="61" t="inlineStr">
        <is>
          <t>TOTAL — MARKETING OPTION 2</t>
        </is>
      </c>
      <c r="B38" s="30" t="n"/>
      <c r="C38" s="31">
        <f>SUM(C32:C37)</f>
        <v>4775</v>
      </c>
      <c r="D38" s="31">
        <f>SUM(D32:D37)</f>
        <v>4775</v>
      </c>
      <c r="E38" s="31">
        <f>SUM(E32:E37)</f>
        <v>4775</v>
      </c>
      <c r="F38" s="31">
        <f>SUM(F32:F37)</f>
        <v>4775</v>
      </c>
      <c r="G38" s="31">
        <f>SUM(G32:G37)</f>
        <v>4775</v>
      </c>
      <c r="H38" s="31">
        <f>SUM(H32:H37)</f>
        <v>4775</v>
      </c>
      <c r="I38" s="31">
        <f>SUM(I32:I37)</f>
        <v>4775</v>
      </c>
      <c r="J38" s="31">
        <f>SUM(J32:J37)</f>
        <v>4775</v>
      </c>
      <c r="K38" s="31">
        <f>SUM(K32:K37)</f>
        <v>4775</v>
      </c>
      <c r="L38" s="31">
        <f>SUM(L32:L37)</f>
        <v>4775</v>
      </c>
      <c r="M38" s="31">
        <f>SUM(M32:M37)</f>
        <v>4775</v>
      </c>
      <c r="N38" s="31">
        <f>SUM(N32:N37)</f>
        <v>4775</v>
      </c>
      <c r="O38" s="31">
        <f>SUM(C38:N38)</f>
        <v>57300</v>
      </c>
      <c r="P38" s="113">
        <f>IF($O$87=0,0,$O38/$O$87)</f>
        <v>0.08028155826916517</v>
      </c>
    </row>
    <row r="40" ht="18" customHeight="1">
      <c r="A40" s="4" t="inlineStr">
        <is>
          <t>D.  UNIT-ACQUISITION COMMISSION  —  the 2% per management, ongoing</t>
        </is>
      </c>
      <c r="B40" s="5" t="n"/>
      <c r="C40" s="5" t="n"/>
      <c r="D40" s="5" t="n"/>
      <c r="E40" s="5" t="n"/>
      <c r="F40" s="5" t="n"/>
      <c r="G40" s="5" t="n"/>
      <c r="H40" s="5" t="n"/>
      <c r="I40" s="5" t="n"/>
      <c r="J40" s="5" t="n"/>
      <c r="K40" s="5" t="n"/>
      <c r="L40" s="5" t="n"/>
      <c r="M40" s="5" t="n"/>
      <c r="N40" s="5" t="n"/>
      <c r="O40" s="5" t="n"/>
      <c r="P40" s="5" t="n"/>
    </row>
    <row r="41" ht="20" customHeight="1">
      <c r="A41" s="36" t="inlineStr">
        <is>
          <t>Trailing commission on signed units (2%)</t>
        </is>
      </c>
      <c r="B41" s="107" t="inlineStr">
        <is>
          <t>2% of live units' revenue, every month</t>
        </is>
      </c>
      <c r="C41" s="22">
        <f>IF(Assumptions!$F$41=1,C11,C12)*Assumptions!$F$40</f>
        <v>0</v>
      </c>
      <c r="D41" s="22">
        <f>IF(Assumptions!$F$41=1,D11,D12)*Assumptions!$F$40</f>
        <v>615.6</v>
      </c>
      <c r="E41" s="22">
        <f>IF(Assumptions!$F$41=1,E11,E12)*Assumptions!$F$40</f>
        <v>1436.4</v>
      </c>
      <c r="F41" s="22">
        <f>IF(Assumptions!$F$41=1,F11,F12)*Assumptions!$F$40</f>
        <v>2462.4</v>
      </c>
      <c r="G41" s="22">
        <f>IF(Assumptions!$F$41=1,G11,G12)*Assumptions!$F$40</f>
        <v>3693.6</v>
      </c>
      <c r="H41" s="22">
        <f>IF(Assumptions!$F$41=1,H11,H12)*Assumptions!$F$40</f>
        <v>4924.8</v>
      </c>
      <c r="I41" s="22">
        <f>IF(Assumptions!$F$41=1,I11,I12)*Assumptions!$F$40</f>
        <v>6361.2</v>
      </c>
      <c r="J41" s="22">
        <f>IF(Assumptions!$F$41=1,J11,J12)*Assumptions!$F$40</f>
        <v>7797.6</v>
      </c>
      <c r="K41" s="22">
        <f>IF(Assumptions!$F$41=1,K11,K12)*Assumptions!$F$40</f>
        <v>9439.2</v>
      </c>
      <c r="L41" s="22">
        <f>IF(Assumptions!$F$41=1,L11,L12)*Assumptions!$F$40</f>
        <v>11080.800000000001</v>
      </c>
      <c r="M41" s="22">
        <f>IF(Assumptions!$F$41=1,M11,M12)*Assumptions!$F$40</f>
        <v>12722.4</v>
      </c>
      <c r="N41" s="22">
        <f>IF(Assumptions!$F$41=1,N11,N12)*Assumptions!$F$40</f>
        <v>14569.2</v>
      </c>
      <c r="O41" s="84">
        <f>SUM(C41:N41)</f>
        <v>75103.20000000001</v>
      </c>
      <c r="P41" s="17" t="n"/>
    </row>
    <row r="42">
      <c r="A42" s="61" t="inlineStr">
        <is>
          <t>TOTAL COMMISSION</t>
        </is>
      </c>
      <c r="B42" s="30" t="n"/>
      <c r="C42" s="31">
        <f>SUM(C41:C41)</f>
        <v>0</v>
      </c>
      <c r="D42" s="31">
        <f>SUM(D41:D41)</f>
        <v>615.6</v>
      </c>
      <c r="E42" s="31">
        <f>SUM(E41:E41)</f>
        <v>1436.4</v>
      </c>
      <c r="F42" s="31">
        <f>SUM(F41:F41)</f>
        <v>2462.4</v>
      </c>
      <c r="G42" s="31">
        <f>SUM(G41:G41)</f>
        <v>3693.6</v>
      </c>
      <c r="H42" s="31">
        <f>SUM(H41:H41)</f>
        <v>4924.8</v>
      </c>
      <c r="I42" s="31">
        <f>SUM(I41:I41)</f>
        <v>6361.2</v>
      </c>
      <c r="J42" s="31">
        <f>SUM(J41:J41)</f>
        <v>7797.6</v>
      </c>
      <c r="K42" s="31">
        <f>SUM(K41:K41)</f>
        <v>9439.2</v>
      </c>
      <c r="L42" s="31">
        <f>SUM(L41:L41)</f>
        <v>11080.800000000001</v>
      </c>
      <c r="M42" s="31">
        <f>SUM(M41:M41)</f>
        <v>12722.4</v>
      </c>
      <c r="N42" s="31">
        <f>SUM(N41:N41)</f>
        <v>14569.2</v>
      </c>
      <c r="O42" s="31">
        <f>SUM(C42:N42)</f>
        <v>75103.20000000001</v>
      </c>
      <c r="P42" s="113">
        <f>IF($O$87=0,0,$O42/$O$87)</f>
        <v>0.10522516452008318</v>
      </c>
    </row>
    <row r="44" ht="18" customHeight="1">
      <c r="A44" s="4" t="inlineStr">
        <is>
          <t>E.  TECHNOLOGY, PLATFORM &amp; AI</t>
        </is>
      </c>
      <c r="B44" s="5" t="n"/>
      <c r="C44" s="5" t="n"/>
      <c r="D44" s="5" t="n"/>
      <c r="E44" s="5" t="n"/>
      <c r="F44" s="5" t="n"/>
      <c r="G44" s="5" t="n"/>
      <c r="H44" s="5" t="n"/>
      <c r="I44" s="5" t="n"/>
      <c r="J44" s="5" t="n"/>
      <c r="K44" s="5" t="n"/>
      <c r="L44" s="5" t="n"/>
      <c r="M44" s="5" t="n"/>
      <c r="N44" s="5" t="n"/>
      <c r="O44" s="5" t="n"/>
      <c r="P44" s="5" t="n"/>
    </row>
    <row r="45" ht="20" customHeight="1">
      <c r="A45" s="36" t="inlineStr">
        <is>
          <t>PMS / channel manager licence</t>
        </is>
      </c>
      <c r="B45" s="107" t="inlineStr">
        <is>
          <t>Per live unit</t>
        </is>
      </c>
      <c r="C45" s="22">
        <f>C9*Assumptions!$F$43</f>
        <v>0</v>
      </c>
      <c r="D45" s="22">
        <f>D9*Assumptions!$F$43</f>
        <v>225</v>
      </c>
      <c r="E45" s="22">
        <f>E9*Assumptions!$F$43</f>
        <v>525</v>
      </c>
      <c r="F45" s="22">
        <f>F9*Assumptions!$F$43</f>
        <v>900</v>
      </c>
      <c r="G45" s="22">
        <f>G9*Assumptions!$F$43</f>
        <v>1350</v>
      </c>
      <c r="H45" s="22">
        <f>H9*Assumptions!$F$43</f>
        <v>1800</v>
      </c>
      <c r="I45" s="22">
        <f>I9*Assumptions!$F$43</f>
        <v>2325</v>
      </c>
      <c r="J45" s="22">
        <f>J9*Assumptions!$F$43</f>
        <v>2850</v>
      </c>
      <c r="K45" s="22">
        <f>K9*Assumptions!$F$43</f>
        <v>3450</v>
      </c>
      <c r="L45" s="22">
        <f>L9*Assumptions!$F$43</f>
        <v>4050</v>
      </c>
      <c r="M45" s="22">
        <f>M9*Assumptions!$F$43</f>
        <v>4650</v>
      </c>
      <c r="N45" s="22">
        <f>N9*Assumptions!$F$43</f>
        <v>5325</v>
      </c>
      <c r="O45" s="84">
        <f>SUM(C45:N45)</f>
        <v>27450</v>
      </c>
      <c r="P45" s="17" t="n"/>
    </row>
    <row r="46" ht="20" customHeight="1">
      <c r="A46" s="36" t="inlineStr">
        <is>
          <t>Dynamic pricing tool</t>
        </is>
      </c>
      <c r="B46" s="107" t="inlineStr">
        <is>
          <t>Per live unit</t>
        </is>
      </c>
      <c r="C46" s="22">
        <f>C9*Assumptions!$F$44</f>
        <v>0</v>
      </c>
      <c r="D46" s="22">
        <f>D9*Assumptions!$F$44</f>
        <v>96</v>
      </c>
      <c r="E46" s="22">
        <f>E9*Assumptions!$F$44</f>
        <v>224</v>
      </c>
      <c r="F46" s="22">
        <f>F9*Assumptions!$F$44</f>
        <v>384</v>
      </c>
      <c r="G46" s="22">
        <f>G9*Assumptions!$F$44</f>
        <v>576</v>
      </c>
      <c r="H46" s="22">
        <f>H9*Assumptions!$F$44</f>
        <v>768</v>
      </c>
      <c r="I46" s="22">
        <f>I9*Assumptions!$F$44</f>
        <v>992</v>
      </c>
      <c r="J46" s="22">
        <f>J9*Assumptions!$F$44</f>
        <v>1216</v>
      </c>
      <c r="K46" s="22">
        <f>K9*Assumptions!$F$44</f>
        <v>1472</v>
      </c>
      <c r="L46" s="22">
        <f>L9*Assumptions!$F$44</f>
        <v>1728</v>
      </c>
      <c r="M46" s="22">
        <f>M9*Assumptions!$F$44</f>
        <v>1984</v>
      </c>
      <c r="N46" s="22">
        <f>N9*Assumptions!$F$44</f>
        <v>2272</v>
      </c>
      <c r="O46" s="84">
        <f>SUM(C46:N46)</f>
        <v>11712</v>
      </c>
      <c r="P46" s="17" t="n"/>
    </row>
    <row r="47" ht="20" customHeight="1">
      <c r="A47" s="36" t="inlineStr">
        <is>
          <t>Smart-lock / access platform</t>
        </is>
      </c>
      <c r="B47" s="107" t="inlineStr">
        <is>
          <t>Per live unit</t>
        </is>
      </c>
      <c r="C47" s="22">
        <f>C9*Assumptions!$F$45</f>
        <v>0</v>
      </c>
      <c r="D47" s="22">
        <f>D9*Assumptions!$F$45</f>
        <v>54</v>
      </c>
      <c r="E47" s="22">
        <f>E9*Assumptions!$F$45</f>
        <v>126</v>
      </c>
      <c r="F47" s="22">
        <f>F9*Assumptions!$F$45</f>
        <v>216</v>
      </c>
      <c r="G47" s="22">
        <f>G9*Assumptions!$F$45</f>
        <v>324</v>
      </c>
      <c r="H47" s="22">
        <f>H9*Assumptions!$F$45</f>
        <v>432</v>
      </c>
      <c r="I47" s="22">
        <f>I9*Assumptions!$F$45</f>
        <v>558</v>
      </c>
      <c r="J47" s="22">
        <f>J9*Assumptions!$F$45</f>
        <v>684</v>
      </c>
      <c r="K47" s="22">
        <f>K9*Assumptions!$F$45</f>
        <v>828</v>
      </c>
      <c r="L47" s="22">
        <f>L9*Assumptions!$F$45</f>
        <v>972</v>
      </c>
      <c r="M47" s="22">
        <f>M9*Assumptions!$F$45</f>
        <v>1116</v>
      </c>
      <c r="N47" s="22">
        <f>N9*Assumptions!$F$45</f>
        <v>1278</v>
      </c>
      <c r="O47" s="84">
        <f>SUM(C47:N47)</f>
        <v>6588</v>
      </c>
      <c r="P47" s="17" t="n"/>
    </row>
    <row r="48" ht="20" customHeight="1">
      <c r="A48" s="36" t="inlineStr">
        <is>
          <t>AI subscriptions</t>
        </is>
      </c>
      <c r="B48" s="107" t="inlineStr">
        <is>
          <t>Per management — see 'AI Subscriptions' tab</t>
        </is>
      </c>
      <c r="C48" s="116">
        <f>Assumptions!$F$46</f>
        <v>1318.4275</v>
      </c>
      <c r="D48" s="116">
        <f>Assumptions!$F$46</f>
        <v>1318.4275</v>
      </c>
      <c r="E48" s="116">
        <f>Assumptions!$F$46</f>
        <v>1318.4275</v>
      </c>
      <c r="F48" s="116">
        <f>Assumptions!$F$46</f>
        <v>1318.4275</v>
      </c>
      <c r="G48" s="116">
        <f>Assumptions!$F$46</f>
        <v>1318.4275</v>
      </c>
      <c r="H48" s="116">
        <f>Assumptions!$F$46</f>
        <v>1318.4275</v>
      </c>
      <c r="I48" s="116">
        <f>Assumptions!$F$46</f>
        <v>1318.4275</v>
      </c>
      <c r="J48" s="116">
        <f>Assumptions!$F$46</f>
        <v>1318.4275</v>
      </c>
      <c r="K48" s="116">
        <f>Assumptions!$F$46</f>
        <v>1318.4275</v>
      </c>
      <c r="L48" s="116">
        <f>Assumptions!$F$46</f>
        <v>1318.4275</v>
      </c>
      <c r="M48" s="116">
        <f>Assumptions!$F$46</f>
        <v>1318.4275</v>
      </c>
      <c r="N48" s="116">
        <f>Assumptions!$F$46</f>
        <v>1318.4275</v>
      </c>
      <c r="O48" s="84">
        <f>SUM(C48:N48)</f>
        <v>15821.13</v>
      </c>
      <c r="P48" s="17" t="n"/>
    </row>
    <row r="49" ht="20" customHeight="1">
      <c r="A49" s="36" t="inlineStr">
        <is>
          <t>Google Workspace &amp; business email</t>
        </is>
      </c>
      <c r="B49" s="107" t="inlineStr"/>
      <c r="C49" s="22">
        <f>Assumptions!$F$47</f>
        <v>150</v>
      </c>
      <c r="D49" s="22">
        <f>Assumptions!$F$47</f>
        <v>150</v>
      </c>
      <c r="E49" s="22">
        <f>Assumptions!$F$47</f>
        <v>150</v>
      </c>
      <c r="F49" s="22">
        <f>Assumptions!$F$47</f>
        <v>150</v>
      </c>
      <c r="G49" s="22">
        <f>Assumptions!$F$47</f>
        <v>150</v>
      </c>
      <c r="H49" s="22">
        <f>Assumptions!$F$47</f>
        <v>150</v>
      </c>
      <c r="I49" s="22">
        <f>Assumptions!$F$47</f>
        <v>150</v>
      </c>
      <c r="J49" s="22">
        <f>Assumptions!$F$47</f>
        <v>150</v>
      </c>
      <c r="K49" s="22">
        <f>Assumptions!$F$47</f>
        <v>150</v>
      </c>
      <c r="L49" s="22">
        <f>Assumptions!$F$47</f>
        <v>150</v>
      </c>
      <c r="M49" s="22">
        <f>Assumptions!$F$47</f>
        <v>150</v>
      </c>
      <c r="N49" s="22">
        <f>Assumptions!$F$47</f>
        <v>150</v>
      </c>
      <c r="O49" s="84">
        <f>SUM(C49:N49)</f>
        <v>1800</v>
      </c>
      <c r="P49" s="17" t="n"/>
    </row>
    <row r="50" ht="20" customHeight="1">
      <c r="A50" s="36" t="inlineStr">
        <is>
          <t>Accounting software</t>
        </is>
      </c>
      <c r="B50" s="107" t="inlineStr"/>
      <c r="C50" s="22">
        <f>Assumptions!$F$48</f>
        <v>160</v>
      </c>
      <c r="D50" s="22">
        <f>Assumptions!$F$48</f>
        <v>160</v>
      </c>
      <c r="E50" s="22">
        <f>Assumptions!$F$48</f>
        <v>160</v>
      </c>
      <c r="F50" s="22">
        <f>Assumptions!$F$48</f>
        <v>160</v>
      </c>
      <c r="G50" s="22">
        <f>Assumptions!$F$48</f>
        <v>160</v>
      </c>
      <c r="H50" s="22">
        <f>Assumptions!$F$48</f>
        <v>160</v>
      </c>
      <c r="I50" s="22">
        <f>Assumptions!$F$48</f>
        <v>160</v>
      </c>
      <c r="J50" s="22">
        <f>Assumptions!$F$48</f>
        <v>160</v>
      </c>
      <c r="K50" s="22">
        <f>Assumptions!$F$48</f>
        <v>160</v>
      </c>
      <c r="L50" s="22">
        <f>Assumptions!$F$48</f>
        <v>160</v>
      </c>
      <c r="M50" s="22">
        <f>Assumptions!$F$48</f>
        <v>160</v>
      </c>
      <c r="N50" s="22">
        <f>Assumptions!$F$48</f>
        <v>160</v>
      </c>
      <c r="O50" s="84">
        <f>SUM(C50:N50)</f>
        <v>1920</v>
      </c>
      <c r="P50" s="17" t="n"/>
    </row>
    <row r="51" ht="20" customHeight="1">
      <c r="A51" s="36" t="inlineStr">
        <is>
          <t>Website hosting &amp; direct booking engine</t>
        </is>
      </c>
      <c r="B51" s="107" t="inlineStr"/>
      <c r="C51" s="22">
        <f>Assumptions!$F$49</f>
        <v>190</v>
      </c>
      <c r="D51" s="22">
        <f>Assumptions!$F$49</f>
        <v>190</v>
      </c>
      <c r="E51" s="22">
        <f>Assumptions!$F$49</f>
        <v>190</v>
      </c>
      <c r="F51" s="22">
        <f>Assumptions!$F$49</f>
        <v>190</v>
      </c>
      <c r="G51" s="22">
        <f>Assumptions!$F$49</f>
        <v>190</v>
      </c>
      <c r="H51" s="22">
        <f>Assumptions!$F$49</f>
        <v>190</v>
      </c>
      <c r="I51" s="22">
        <f>Assumptions!$F$49</f>
        <v>190</v>
      </c>
      <c r="J51" s="22">
        <f>Assumptions!$F$49</f>
        <v>190</v>
      </c>
      <c r="K51" s="22">
        <f>Assumptions!$F$49</f>
        <v>190</v>
      </c>
      <c r="L51" s="22">
        <f>Assumptions!$F$49</f>
        <v>190</v>
      </c>
      <c r="M51" s="22">
        <f>Assumptions!$F$49</f>
        <v>190</v>
      </c>
      <c r="N51" s="22">
        <f>Assumptions!$F$49</f>
        <v>190</v>
      </c>
      <c r="O51" s="84">
        <f>SUM(C51:N51)</f>
        <v>2280</v>
      </c>
      <c r="P51" s="17" t="n"/>
    </row>
    <row r="52" ht="20" customHeight="1">
      <c r="A52" s="36" t="inlineStr">
        <is>
          <t>VoIP, WhatsApp Business API &amp; guest line</t>
        </is>
      </c>
      <c r="B52" s="107" t="inlineStr">
        <is>
          <t>24/7 support promise</t>
        </is>
      </c>
      <c r="C52" s="22">
        <f>Assumptions!$F$50</f>
        <v>230</v>
      </c>
      <c r="D52" s="22">
        <f>Assumptions!$F$50</f>
        <v>230</v>
      </c>
      <c r="E52" s="22">
        <f>Assumptions!$F$50</f>
        <v>230</v>
      </c>
      <c r="F52" s="22">
        <f>Assumptions!$F$50</f>
        <v>230</v>
      </c>
      <c r="G52" s="22">
        <f>Assumptions!$F$50</f>
        <v>230</v>
      </c>
      <c r="H52" s="22">
        <f>Assumptions!$F$50</f>
        <v>230</v>
      </c>
      <c r="I52" s="22">
        <f>Assumptions!$F$50</f>
        <v>230</v>
      </c>
      <c r="J52" s="22">
        <f>Assumptions!$F$50</f>
        <v>230</v>
      </c>
      <c r="K52" s="22">
        <f>Assumptions!$F$50</f>
        <v>230</v>
      </c>
      <c r="L52" s="22">
        <f>Assumptions!$F$50</f>
        <v>230</v>
      </c>
      <c r="M52" s="22">
        <f>Assumptions!$F$50</f>
        <v>230</v>
      </c>
      <c r="N52" s="22">
        <f>Assumptions!$F$50</f>
        <v>230</v>
      </c>
      <c r="O52" s="84">
        <f>SUM(C52:N52)</f>
        <v>2760</v>
      </c>
      <c r="P52" s="17" t="n"/>
    </row>
    <row r="53">
      <c r="A53" s="61" t="inlineStr">
        <is>
          <t>TOTAL TECHNOLOGY &amp; AI</t>
        </is>
      </c>
      <c r="B53" s="30" t="n"/>
      <c r="C53" s="31">
        <f>SUM(C45:C52)</f>
        <v>2048.4275</v>
      </c>
      <c r="D53" s="31">
        <f>SUM(D45:D52)</f>
        <v>2423.4275</v>
      </c>
      <c r="E53" s="31">
        <f>SUM(E45:E52)</f>
        <v>2923.4275</v>
      </c>
      <c r="F53" s="31">
        <f>SUM(F45:F52)</f>
        <v>3548.4275</v>
      </c>
      <c r="G53" s="31">
        <f>SUM(G45:G52)</f>
        <v>4298.4275</v>
      </c>
      <c r="H53" s="31">
        <f>SUM(H45:H52)</f>
        <v>5048.4275</v>
      </c>
      <c r="I53" s="31">
        <f>SUM(I45:I52)</f>
        <v>5923.4275</v>
      </c>
      <c r="J53" s="31">
        <f>SUM(J45:J52)</f>
        <v>6798.4275</v>
      </c>
      <c r="K53" s="31">
        <f>SUM(K45:K52)</f>
        <v>7798.4275</v>
      </c>
      <c r="L53" s="31">
        <f>SUM(L45:L52)</f>
        <v>8798.4275</v>
      </c>
      <c r="M53" s="31">
        <f>SUM(M45:M52)</f>
        <v>9798.4275</v>
      </c>
      <c r="N53" s="31">
        <f>SUM(N45:N52)</f>
        <v>10923.4275</v>
      </c>
      <c r="O53" s="31">
        <f>SUM(C53:N53)</f>
        <v>70331.12999999999</v>
      </c>
      <c r="P53" s="113">
        <f>IF($O$87=0,0,$O53/$O$87)</f>
        <v>0.09853913981206334</v>
      </c>
    </row>
    <row r="55" ht="18" customHeight="1">
      <c r="A55" s="4" t="inlineStr">
        <is>
          <t>F.  UNIT OPERATIONS  —  variable with portfolio size</t>
        </is>
      </c>
      <c r="B55" s="5" t="n"/>
      <c r="C55" s="5" t="n"/>
      <c r="D55" s="5" t="n"/>
      <c r="E55" s="5" t="n"/>
      <c r="F55" s="5" t="n"/>
      <c r="G55" s="5" t="n"/>
      <c r="H55" s="5" t="n"/>
      <c r="I55" s="5" t="n"/>
      <c r="J55" s="5" t="n"/>
      <c r="K55" s="5" t="n"/>
      <c r="L55" s="5" t="n"/>
      <c r="M55" s="5" t="n"/>
      <c r="N55" s="5" t="n"/>
      <c r="O55" s="5" t="n"/>
      <c r="P55" s="5" t="n"/>
    </row>
    <row r="56" ht="20" customHeight="1">
      <c r="A56" s="36" t="inlineStr">
        <is>
          <t>DET holiday-home permit renewals (accrual)</t>
        </is>
      </c>
      <c r="B56" s="107" t="inlineStr">
        <is>
          <t>Per live unit, 1/12 of annual</t>
        </is>
      </c>
      <c r="C56" s="22">
        <f>C9*Assumptions!$F$52/12</f>
        <v>0</v>
      </c>
      <c r="D56" s="22">
        <f>D9*Assumptions!$F$52/12</f>
        <v>380</v>
      </c>
      <c r="E56" s="22">
        <f>E9*Assumptions!$F$52/12</f>
        <v>886.6666666666666</v>
      </c>
      <c r="F56" s="22">
        <f>F9*Assumptions!$F$52/12</f>
        <v>1520</v>
      </c>
      <c r="G56" s="22">
        <f>G9*Assumptions!$F$52/12</f>
        <v>2280</v>
      </c>
      <c r="H56" s="22">
        <f>H9*Assumptions!$F$52/12</f>
        <v>3040</v>
      </c>
      <c r="I56" s="22">
        <f>I9*Assumptions!$F$52/12</f>
        <v>3926.6666666666665</v>
      </c>
      <c r="J56" s="22">
        <f>J9*Assumptions!$F$52/12</f>
        <v>4813.333333333333</v>
      </c>
      <c r="K56" s="22">
        <f>K9*Assumptions!$F$52/12</f>
        <v>5826.666666666667</v>
      </c>
      <c r="L56" s="22">
        <f>L9*Assumptions!$F$52/12</f>
        <v>6840</v>
      </c>
      <c r="M56" s="22">
        <f>M9*Assumptions!$F$52/12</f>
        <v>7853.333333333333</v>
      </c>
      <c r="N56" s="22">
        <f>N9*Assumptions!$F$52/12</f>
        <v>8993.333333333334</v>
      </c>
      <c r="O56" s="84">
        <f>SUM(C56:N56)</f>
        <v>46360.00000000001</v>
      </c>
      <c r="P56" s="17" t="n"/>
    </row>
    <row r="57" ht="20" customHeight="1">
      <c r="A57" s="36" t="inlineStr">
        <is>
          <t>Housekeeping &amp; laundry — net of guest recharge</t>
        </is>
      </c>
      <c r="B57" s="107" t="inlineStr">
        <is>
          <t>Per live unit</t>
        </is>
      </c>
      <c r="C57" s="22">
        <f>C9*Assumptions!$F$53</f>
        <v>0</v>
      </c>
      <c r="D57" s="22">
        <f>D9*Assumptions!$F$53</f>
        <v>540</v>
      </c>
      <c r="E57" s="22">
        <f>E9*Assumptions!$F$53</f>
        <v>1260</v>
      </c>
      <c r="F57" s="22">
        <f>F9*Assumptions!$F$53</f>
        <v>2160</v>
      </c>
      <c r="G57" s="22">
        <f>G9*Assumptions!$F$53</f>
        <v>3240</v>
      </c>
      <c r="H57" s="22">
        <f>H9*Assumptions!$F$53</f>
        <v>4320</v>
      </c>
      <c r="I57" s="22">
        <f>I9*Assumptions!$F$53</f>
        <v>5580</v>
      </c>
      <c r="J57" s="22">
        <f>J9*Assumptions!$F$53</f>
        <v>6840</v>
      </c>
      <c r="K57" s="22">
        <f>K9*Assumptions!$F$53</f>
        <v>8280</v>
      </c>
      <c r="L57" s="22">
        <f>L9*Assumptions!$F$53</f>
        <v>9720</v>
      </c>
      <c r="M57" s="22">
        <f>M9*Assumptions!$F$53</f>
        <v>11160</v>
      </c>
      <c r="N57" s="22">
        <f>N9*Assumptions!$F$53</f>
        <v>12780</v>
      </c>
      <c r="O57" s="84">
        <f>SUM(C57:N57)</f>
        <v>65880</v>
      </c>
      <c r="P57" s="17" t="n"/>
    </row>
    <row r="58" ht="20" customHeight="1">
      <c r="A58" s="36" t="inlineStr">
        <is>
          <t>Guest consumables &amp; amenities</t>
        </is>
      </c>
      <c r="B58" s="107" t="inlineStr">
        <is>
          <t>Per live unit</t>
        </is>
      </c>
      <c r="C58" s="22">
        <f>C9*Assumptions!$F$54</f>
        <v>0</v>
      </c>
      <c r="D58" s="22">
        <f>D9*Assumptions!$F$54</f>
        <v>300</v>
      </c>
      <c r="E58" s="22">
        <f>E9*Assumptions!$F$54</f>
        <v>700</v>
      </c>
      <c r="F58" s="22">
        <f>F9*Assumptions!$F$54</f>
        <v>1200</v>
      </c>
      <c r="G58" s="22">
        <f>G9*Assumptions!$F$54</f>
        <v>1800</v>
      </c>
      <c r="H58" s="22">
        <f>H9*Assumptions!$F$54</f>
        <v>2400</v>
      </c>
      <c r="I58" s="22">
        <f>I9*Assumptions!$F$54</f>
        <v>3100</v>
      </c>
      <c r="J58" s="22">
        <f>J9*Assumptions!$F$54</f>
        <v>3800</v>
      </c>
      <c r="K58" s="22">
        <f>K9*Assumptions!$F$54</f>
        <v>4600</v>
      </c>
      <c r="L58" s="22">
        <f>L9*Assumptions!$F$54</f>
        <v>5400</v>
      </c>
      <c r="M58" s="22">
        <f>M9*Assumptions!$F$54</f>
        <v>6200</v>
      </c>
      <c r="N58" s="22">
        <f>N9*Assumptions!$F$54</f>
        <v>7100</v>
      </c>
      <c r="O58" s="84">
        <f>SUM(C58:N58)</f>
        <v>36600</v>
      </c>
      <c r="P58" s="17" t="n"/>
    </row>
    <row r="59" ht="20" customHeight="1">
      <c r="A59" s="36" t="inlineStr">
        <is>
          <t>Maintenance coordination &amp; petty repairs</t>
        </is>
      </c>
      <c r="B59" s="107" t="inlineStr">
        <is>
          <t>Per live unit</t>
        </is>
      </c>
      <c r="C59" s="22">
        <f>C9*Assumptions!$F$55</f>
        <v>0</v>
      </c>
      <c r="D59" s="22">
        <f>D9*Assumptions!$F$55</f>
        <v>270</v>
      </c>
      <c r="E59" s="22">
        <f>E9*Assumptions!$F$55</f>
        <v>630</v>
      </c>
      <c r="F59" s="22">
        <f>F9*Assumptions!$F$55</f>
        <v>1080</v>
      </c>
      <c r="G59" s="22">
        <f>G9*Assumptions!$F$55</f>
        <v>1620</v>
      </c>
      <c r="H59" s="22">
        <f>H9*Assumptions!$F$55</f>
        <v>2160</v>
      </c>
      <c r="I59" s="22">
        <f>I9*Assumptions!$F$55</f>
        <v>2790</v>
      </c>
      <c r="J59" s="22">
        <f>J9*Assumptions!$F$55</f>
        <v>3420</v>
      </c>
      <c r="K59" s="22">
        <f>K9*Assumptions!$F$55</f>
        <v>4140</v>
      </c>
      <c r="L59" s="22">
        <f>L9*Assumptions!$F$55</f>
        <v>4860</v>
      </c>
      <c r="M59" s="22">
        <f>M9*Assumptions!$F$55</f>
        <v>5580</v>
      </c>
      <c r="N59" s="22">
        <f>N9*Assumptions!$F$55</f>
        <v>6390</v>
      </c>
      <c r="O59" s="84">
        <f>SUM(C59:N59)</f>
        <v>32940</v>
      </c>
      <c r="P59" s="17" t="n"/>
    </row>
    <row r="60" ht="20" customHeight="1">
      <c r="A60" s="36" t="inlineStr">
        <is>
          <t>Linen &amp; towel replacement</t>
        </is>
      </c>
      <c r="B60" s="107" t="inlineStr">
        <is>
          <t>Per live unit</t>
        </is>
      </c>
      <c r="C60" s="22">
        <f>C9*Assumptions!$F$56</f>
        <v>0</v>
      </c>
      <c r="D60" s="22">
        <f>D9*Assumptions!$F$56</f>
        <v>120</v>
      </c>
      <c r="E60" s="22">
        <f>E9*Assumptions!$F$56</f>
        <v>280</v>
      </c>
      <c r="F60" s="22">
        <f>F9*Assumptions!$F$56</f>
        <v>480</v>
      </c>
      <c r="G60" s="22">
        <f>G9*Assumptions!$F$56</f>
        <v>720</v>
      </c>
      <c r="H60" s="22">
        <f>H9*Assumptions!$F$56</f>
        <v>960</v>
      </c>
      <c r="I60" s="22">
        <f>I9*Assumptions!$F$56</f>
        <v>1240</v>
      </c>
      <c r="J60" s="22">
        <f>J9*Assumptions!$F$56</f>
        <v>1520</v>
      </c>
      <c r="K60" s="22">
        <f>K9*Assumptions!$F$56</f>
        <v>1840</v>
      </c>
      <c r="L60" s="22">
        <f>L9*Assumptions!$F$56</f>
        <v>2160</v>
      </c>
      <c r="M60" s="22">
        <f>M9*Assumptions!$F$56</f>
        <v>2480</v>
      </c>
      <c r="N60" s="22">
        <f>N9*Assumptions!$F$56</f>
        <v>2840</v>
      </c>
      <c r="O60" s="84">
        <f>SUM(C60:N60)</f>
        <v>14640</v>
      </c>
      <c r="P60" s="17" t="n"/>
    </row>
    <row r="61">
      <c r="A61" s="61" t="inlineStr">
        <is>
          <t>TOTAL UNIT OPERATIONS</t>
        </is>
      </c>
      <c r="B61" s="30" t="n"/>
      <c r="C61" s="31">
        <f>SUM(C56:C60)</f>
        <v>0</v>
      </c>
      <c r="D61" s="31">
        <f>SUM(D56:D60)</f>
        <v>1610</v>
      </c>
      <c r="E61" s="31">
        <f>SUM(E56:E60)</f>
        <v>3756.6666666666665</v>
      </c>
      <c r="F61" s="31">
        <f>SUM(F56:F60)</f>
        <v>6440</v>
      </c>
      <c r="G61" s="31">
        <f>SUM(G56:G60)</f>
        <v>9660</v>
      </c>
      <c r="H61" s="31">
        <f>SUM(H56:H60)</f>
        <v>12880</v>
      </c>
      <c r="I61" s="31">
        <f>SUM(I56:I60)</f>
        <v>16636.666666666664</v>
      </c>
      <c r="J61" s="31">
        <f>SUM(J56:J60)</f>
        <v>20393.333333333332</v>
      </c>
      <c r="K61" s="31">
        <f>SUM(K56:K60)</f>
        <v>24686.666666666668</v>
      </c>
      <c r="L61" s="31">
        <f>SUM(L56:L60)</f>
        <v>28980</v>
      </c>
      <c r="M61" s="31">
        <f>SUM(M56:M60)</f>
        <v>33273.33333333333</v>
      </c>
      <c r="N61" s="31">
        <f>SUM(N56:N60)</f>
        <v>38103.333333333336</v>
      </c>
      <c r="O61" s="31">
        <f>SUM(C61:N61)</f>
        <v>196420.00000000003</v>
      </c>
      <c r="P61" s="113">
        <f>IF($O$87=0,0,$O61/$O$87)</f>
        <v>0.2751990170197107</v>
      </c>
    </row>
    <row r="63" ht="18" customHeight="1">
      <c r="A63" s="4" t="inlineStr">
        <is>
          <t>G.  OFFICE &amp; ADMINISTRATION  —  DUBAI</t>
        </is>
      </c>
      <c r="B63" s="5" t="n"/>
      <c r="C63" s="5" t="n"/>
      <c r="D63" s="5" t="n"/>
      <c r="E63" s="5" t="n"/>
      <c r="F63" s="5" t="n"/>
      <c r="G63" s="5" t="n"/>
      <c r="H63" s="5" t="n"/>
      <c r="I63" s="5" t="n"/>
      <c r="J63" s="5" t="n"/>
      <c r="K63" s="5" t="n"/>
      <c r="L63" s="5" t="n"/>
      <c r="M63" s="5" t="n"/>
      <c r="N63" s="5" t="n"/>
      <c r="O63" s="5" t="n"/>
      <c r="P63" s="5" t="n"/>
    </row>
    <row r="64" ht="20" customHeight="1">
      <c r="A64" s="36" t="inlineStr">
        <is>
          <t>Office rent / registered address</t>
        </is>
      </c>
      <c r="B64" s="107" t="inlineStr"/>
      <c r="C64" s="22">
        <f>Assumptions!$F$58</f>
        <v>2500</v>
      </c>
      <c r="D64" s="22">
        <f>Assumptions!$F$58</f>
        <v>2500</v>
      </c>
      <c r="E64" s="22">
        <f>Assumptions!$F$58</f>
        <v>2500</v>
      </c>
      <c r="F64" s="22">
        <f>Assumptions!$F$58</f>
        <v>2500</v>
      </c>
      <c r="G64" s="22">
        <f>Assumptions!$F$58</f>
        <v>2500</v>
      </c>
      <c r="H64" s="22">
        <f>Assumptions!$F$58</f>
        <v>2500</v>
      </c>
      <c r="I64" s="22">
        <f>Assumptions!$F$58</f>
        <v>2500</v>
      </c>
      <c r="J64" s="22">
        <f>Assumptions!$F$58</f>
        <v>2500</v>
      </c>
      <c r="K64" s="22">
        <f>Assumptions!$F$58</f>
        <v>2500</v>
      </c>
      <c r="L64" s="22">
        <f>Assumptions!$F$58</f>
        <v>2500</v>
      </c>
      <c r="M64" s="22">
        <f>Assumptions!$F$58</f>
        <v>2500</v>
      </c>
      <c r="N64" s="22">
        <f>Assumptions!$F$58</f>
        <v>2500</v>
      </c>
      <c r="O64" s="84">
        <f>SUM(C64:N64)</f>
        <v>30000</v>
      </c>
      <c r="P64" s="17" t="n"/>
    </row>
    <row r="65" ht="20" customHeight="1">
      <c r="A65" s="36" t="inlineStr">
        <is>
          <t>Office DEWA, internet &amp; chiller</t>
        </is>
      </c>
      <c r="B65" s="107" t="inlineStr"/>
      <c r="C65" s="22">
        <f>Assumptions!$F$59</f>
        <v>520</v>
      </c>
      <c r="D65" s="22">
        <f>Assumptions!$F$59</f>
        <v>520</v>
      </c>
      <c r="E65" s="22">
        <f>Assumptions!$F$59</f>
        <v>520</v>
      </c>
      <c r="F65" s="22">
        <f>Assumptions!$F$59</f>
        <v>520</v>
      </c>
      <c r="G65" s="22">
        <f>Assumptions!$F$59</f>
        <v>520</v>
      </c>
      <c r="H65" s="22">
        <f>Assumptions!$F$59</f>
        <v>520</v>
      </c>
      <c r="I65" s="22">
        <f>Assumptions!$F$59</f>
        <v>520</v>
      </c>
      <c r="J65" s="22">
        <f>Assumptions!$F$59</f>
        <v>520</v>
      </c>
      <c r="K65" s="22">
        <f>Assumptions!$F$59</f>
        <v>520</v>
      </c>
      <c r="L65" s="22">
        <f>Assumptions!$F$59</f>
        <v>520</v>
      </c>
      <c r="M65" s="22">
        <f>Assumptions!$F$59</f>
        <v>520</v>
      </c>
      <c r="N65" s="22">
        <f>Assumptions!$F$59</f>
        <v>520</v>
      </c>
      <c r="O65" s="84">
        <f>SUM(C65:N65)</f>
        <v>6240</v>
      </c>
      <c r="P65" s="17" t="n"/>
    </row>
    <row r="66" ht="20" customHeight="1">
      <c r="A66" s="36" t="inlineStr">
        <is>
          <t>Mobile &amp; telephone</t>
        </is>
      </c>
      <c r="B66" s="107" t="inlineStr"/>
      <c r="C66" s="22">
        <f>Assumptions!$F$60</f>
        <v>260</v>
      </c>
      <c r="D66" s="22">
        <f>Assumptions!$F$60</f>
        <v>260</v>
      </c>
      <c r="E66" s="22">
        <f>Assumptions!$F$60</f>
        <v>260</v>
      </c>
      <c r="F66" s="22">
        <f>Assumptions!$F$60</f>
        <v>260</v>
      </c>
      <c r="G66" s="22">
        <f>Assumptions!$F$60</f>
        <v>260</v>
      </c>
      <c r="H66" s="22">
        <f>Assumptions!$F$60</f>
        <v>260</v>
      </c>
      <c r="I66" s="22">
        <f>Assumptions!$F$60</f>
        <v>260</v>
      </c>
      <c r="J66" s="22">
        <f>Assumptions!$F$60</f>
        <v>260</v>
      </c>
      <c r="K66" s="22">
        <f>Assumptions!$F$60</f>
        <v>260</v>
      </c>
      <c r="L66" s="22">
        <f>Assumptions!$F$60</f>
        <v>260</v>
      </c>
      <c r="M66" s="22">
        <f>Assumptions!$F$60</f>
        <v>260</v>
      </c>
      <c r="N66" s="22">
        <f>Assumptions!$F$60</f>
        <v>260</v>
      </c>
      <c r="O66" s="84">
        <f>SUM(C66:N66)</f>
        <v>3120</v>
      </c>
      <c r="P66" s="17" t="n"/>
    </row>
    <row r="67" ht="20" customHeight="1">
      <c r="A67" s="36" t="inlineStr">
        <is>
          <t>Transport, fuel, Salik &amp; parking</t>
        </is>
      </c>
      <c r="B67" s="107" t="inlineStr"/>
      <c r="C67" s="22">
        <f>Assumptions!$F$61</f>
        <v>1100</v>
      </c>
      <c r="D67" s="22">
        <f>Assumptions!$F$61</f>
        <v>1100</v>
      </c>
      <c r="E67" s="22">
        <f>Assumptions!$F$61</f>
        <v>1100</v>
      </c>
      <c r="F67" s="22">
        <f>Assumptions!$F$61</f>
        <v>1100</v>
      </c>
      <c r="G67" s="22">
        <f>Assumptions!$F$61</f>
        <v>1100</v>
      </c>
      <c r="H67" s="22">
        <f>Assumptions!$F$61</f>
        <v>1100</v>
      </c>
      <c r="I67" s="22">
        <f>Assumptions!$F$61</f>
        <v>1100</v>
      </c>
      <c r="J67" s="22">
        <f>Assumptions!$F$61</f>
        <v>1100</v>
      </c>
      <c r="K67" s="22">
        <f>Assumptions!$F$61</f>
        <v>1100</v>
      </c>
      <c r="L67" s="22">
        <f>Assumptions!$F$61</f>
        <v>1100</v>
      </c>
      <c r="M67" s="22">
        <f>Assumptions!$F$61</f>
        <v>1100</v>
      </c>
      <c r="N67" s="22">
        <f>Assumptions!$F$61</f>
        <v>1100</v>
      </c>
      <c r="O67" s="84">
        <f>SUM(C67:N67)</f>
        <v>13200</v>
      </c>
      <c r="P67" s="17" t="n"/>
    </row>
    <row r="68" ht="20" customHeight="1">
      <c r="A68" s="36" t="inlineStr">
        <is>
          <t>Office consumables, printing &amp; courier</t>
        </is>
      </c>
      <c r="B68" s="107" t="inlineStr"/>
      <c r="C68" s="22">
        <f>Assumptions!$F$62</f>
        <v>200</v>
      </c>
      <c r="D68" s="22">
        <f>Assumptions!$F$62</f>
        <v>200</v>
      </c>
      <c r="E68" s="22">
        <f>Assumptions!$F$62</f>
        <v>200</v>
      </c>
      <c r="F68" s="22">
        <f>Assumptions!$F$62</f>
        <v>200</v>
      </c>
      <c r="G68" s="22">
        <f>Assumptions!$F$62</f>
        <v>200</v>
      </c>
      <c r="H68" s="22">
        <f>Assumptions!$F$62</f>
        <v>200</v>
      </c>
      <c r="I68" s="22">
        <f>Assumptions!$F$62</f>
        <v>200</v>
      </c>
      <c r="J68" s="22">
        <f>Assumptions!$F$62</f>
        <v>200</v>
      </c>
      <c r="K68" s="22">
        <f>Assumptions!$F$62</f>
        <v>200</v>
      </c>
      <c r="L68" s="22">
        <f>Assumptions!$F$62</f>
        <v>200</v>
      </c>
      <c r="M68" s="22">
        <f>Assumptions!$F$62</f>
        <v>200</v>
      </c>
      <c r="N68" s="22">
        <f>Assumptions!$F$62</f>
        <v>200</v>
      </c>
      <c r="O68" s="84">
        <f>SUM(C68:N68)</f>
        <v>2400</v>
      </c>
      <c r="P68" s="17" t="n"/>
    </row>
    <row r="69" ht="20" customHeight="1">
      <c r="A69" s="36" t="inlineStr">
        <is>
          <t>Bank charges &amp; account maintenance</t>
        </is>
      </c>
      <c r="B69" s="107" t="inlineStr"/>
      <c r="C69" s="22">
        <f>Assumptions!$F$63</f>
        <v>175</v>
      </c>
      <c r="D69" s="22">
        <f>Assumptions!$F$63</f>
        <v>175</v>
      </c>
      <c r="E69" s="22">
        <f>Assumptions!$F$63</f>
        <v>175</v>
      </c>
      <c r="F69" s="22">
        <f>Assumptions!$F$63</f>
        <v>175</v>
      </c>
      <c r="G69" s="22">
        <f>Assumptions!$F$63</f>
        <v>175</v>
      </c>
      <c r="H69" s="22">
        <f>Assumptions!$F$63</f>
        <v>175</v>
      </c>
      <c r="I69" s="22">
        <f>Assumptions!$F$63</f>
        <v>175</v>
      </c>
      <c r="J69" s="22">
        <f>Assumptions!$F$63</f>
        <v>175</v>
      </c>
      <c r="K69" s="22">
        <f>Assumptions!$F$63</f>
        <v>175</v>
      </c>
      <c r="L69" s="22">
        <f>Assumptions!$F$63</f>
        <v>175</v>
      </c>
      <c r="M69" s="22">
        <f>Assumptions!$F$63</f>
        <v>175</v>
      </c>
      <c r="N69" s="22">
        <f>Assumptions!$F$63</f>
        <v>175</v>
      </c>
      <c r="O69" s="84">
        <f>SUM(C69:N69)</f>
        <v>2100</v>
      </c>
      <c r="P69" s="17" t="n"/>
    </row>
    <row r="70" ht="20" customHeight="1">
      <c r="A70" s="36" t="inlineStr">
        <is>
          <t>Payment gateway / OTA payout fees</t>
        </is>
      </c>
      <c r="B70" s="107" t="inlineStr">
        <is>
          <t>% of gross collections</t>
        </is>
      </c>
      <c r="C70" s="22">
        <f>C11*Assumptions!$F$64</f>
        <v>0</v>
      </c>
      <c r="D70" s="22">
        <f>D11*Assumptions!$F$64</f>
        <v>800.28</v>
      </c>
      <c r="E70" s="22">
        <f>E11*Assumptions!$F$64</f>
        <v>1867.32</v>
      </c>
      <c r="F70" s="22">
        <f>F11*Assumptions!$F$64</f>
        <v>3201.12</v>
      </c>
      <c r="G70" s="22">
        <f>G11*Assumptions!$F$64</f>
        <v>4801.679999999999</v>
      </c>
      <c r="H70" s="22">
        <f>H11*Assumptions!$F$64</f>
        <v>6402.24</v>
      </c>
      <c r="I70" s="22">
        <f>I11*Assumptions!$F$64</f>
        <v>8269.56</v>
      </c>
      <c r="J70" s="22">
        <f>J11*Assumptions!$F$64</f>
        <v>10136.88</v>
      </c>
      <c r="K70" s="22">
        <f>K11*Assumptions!$F$64</f>
        <v>12270.96</v>
      </c>
      <c r="L70" s="22">
        <f>L11*Assumptions!$F$64</f>
        <v>14405.039999999999</v>
      </c>
      <c r="M70" s="22">
        <f>M11*Assumptions!$F$64</f>
        <v>16539.12</v>
      </c>
      <c r="N70" s="22">
        <f>N11*Assumptions!$F$64</f>
        <v>18939.96</v>
      </c>
      <c r="O70" s="84">
        <f>SUM(C70:N70)</f>
        <v>97634.16</v>
      </c>
      <c r="P70" s="17" t="n"/>
    </row>
    <row r="71">
      <c r="A71" s="61" t="inlineStr">
        <is>
          <t>TOTAL OFFICE &amp; ADMIN</t>
        </is>
      </c>
      <c r="B71" s="30" t="n"/>
      <c r="C71" s="31">
        <f>SUM(C64:C70)</f>
        <v>4755</v>
      </c>
      <c r="D71" s="31">
        <f>SUM(D64:D70)</f>
        <v>5555.28</v>
      </c>
      <c r="E71" s="31">
        <f>SUM(E64:E70)</f>
        <v>6622.32</v>
      </c>
      <c r="F71" s="31">
        <f>SUM(F64:F70)</f>
        <v>7956.12</v>
      </c>
      <c r="G71" s="31">
        <f>SUM(G64:G70)</f>
        <v>9556.68</v>
      </c>
      <c r="H71" s="31">
        <f>SUM(H64:H70)</f>
        <v>11157.24</v>
      </c>
      <c r="I71" s="31">
        <f>SUM(I64:I70)</f>
        <v>13024.56</v>
      </c>
      <c r="J71" s="31">
        <f>SUM(J64:J70)</f>
        <v>14891.88</v>
      </c>
      <c r="K71" s="31">
        <f>SUM(K64:K70)</f>
        <v>17025.96</v>
      </c>
      <c r="L71" s="31">
        <f>SUM(L64:L70)</f>
        <v>19160.04</v>
      </c>
      <c r="M71" s="31">
        <f>SUM(M64:M70)</f>
        <v>21294.12</v>
      </c>
      <c r="N71" s="31">
        <f>SUM(N64:N70)</f>
        <v>23694.96</v>
      </c>
      <c r="O71" s="31">
        <f>SUM(C71:N71)</f>
        <v>154694.16</v>
      </c>
      <c r="P71" s="113">
        <f>IF($O$87=0,0,$O71/$O$87)</f>
        <v>0.21673801430959094</v>
      </c>
    </row>
    <row r="73" ht="18" customHeight="1">
      <c r="A73" s="4" t="inlineStr">
        <is>
          <t>H.  PROFESSIONAL, COMPLIANCE &amp; INSURANCE</t>
        </is>
      </c>
      <c r="B73" s="5" t="n"/>
      <c r="C73" s="5" t="n"/>
      <c r="D73" s="5" t="n"/>
      <c r="E73" s="5" t="n"/>
      <c r="F73" s="5" t="n"/>
      <c r="G73" s="5" t="n"/>
      <c r="H73" s="5" t="n"/>
      <c r="I73" s="5" t="n"/>
      <c r="J73" s="5" t="n"/>
      <c r="K73" s="5" t="n"/>
      <c r="L73" s="5" t="n"/>
      <c r="M73" s="5" t="n"/>
      <c r="N73" s="5" t="n"/>
      <c r="O73" s="5" t="n"/>
      <c r="P73" s="5" t="n"/>
    </row>
    <row r="74" ht="20" customHeight="1">
      <c r="A74" s="36" t="inlineStr">
        <is>
          <t>Bookkeeping &amp; management accounts</t>
        </is>
      </c>
      <c r="B74" s="107" t="inlineStr"/>
      <c r="C74" s="22">
        <f>Assumptions!$F$66</f>
        <v>900</v>
      </c>
      <c r="D74" s="22">
        <f>Assumptions!$F$66</f>
        <v>900</v>
      </c>
      <c r="E74" s="22">
        <f>Assumptions!$F$66</f>
        <v>900</v>
      </c>
      <c r="F74" s="22">
        <f>Assumptions!$F$66</f>
        <v>900</v>
      </c>
      <c r="G74" s="22">
        <f>Assumptions!$F$66</f>
        <v>900</v>
      </c>
      <c r="H74" s="22">
        <f>Assumptions!$F$66</f>
        <v>900</v>
      </c>
      <c r="I74" s="22">
        <f>Assumptions!$F$66</f>
        <v>900</v>
      </c>
      <c r="J74" s="22">
        <f>Assumptions!$F$66</f>
        <v>900</v>
      </c>
      <c r="K74" s="22">
        <f>Assumptions!$F$66</f>
        <v>900</v>
      </c>
      <c r="L74" s="22">
        <f>Assumptions!$F$66</f>
        <v>900</v>
      </c>
      <c r="M74" s="22">
        <f>Assumptions!$F$66</f>
        <v>900</v>
      </c>
      <c r="N74" s="22">
        <f>Assumptions!$F$66</f>
        <v>900</v>
      </c>
      <c r="O74" s="84">
        <f>SUM(C74:N74)</f>
        <v>10800</v>
      </c>
      <c r="P74" s="17" t="n"/>
    </row>
    <row r="75" ht="20" customHeight="1">
      <c r="A75" s="36" t="inlineStr">
        <is>
          <t>VAT return preparation &amp; filing</t>
        </is>
      </c>
      <c r="B75" s="107" t="inlineStr">
        <is>
          <t>Quarterly — M3, M6, M9, M12</t>
        </is>
      </c>
      <c r="C75" s="22">
        <f>IF(MOD(C6,3)=0,Assumptions!$F$67,0)</f>
        <v>0</v>
      </c>
      <c r="D75" s="22">
        <f>IF(MOD(D6,3)=0,Assumptions!$F$67,0)</f>
        <v>0</v>
      </c>
      <c r="E75" s="22">
        <f>IF(MOD(E6,3)=0,Assumptions!$F$67,0)</f>
        <v>700</v>
      </c>
      <c r="F75" s="22">
        <f>IF(MOD(F6,3)=0,Assumptions!$F$67,0)</f>
        <v>0</v>
      </c>
      <c r="G75" s="22">
        <f>IF(MOD(G6,3)=0,Assumptions!$F$67,0)</f>
        <v>0</v>
      </c>
      <c r="H75" s="22">
        <f>IF(MOD(H6,3)=0,Assumptions!$F$67,0)</f>
        <v>700</v>
      </c>
      <c r="I75" s="22">
        <f>IF(MOD(I6,3)=0,Assumptions!$F$67,0)</f>
        <v>0</v>
      </c>
      <c r="J75" s="22">
        <f>IF(MOD(J6,3)=0,Assumptions!$F$67,0)</f>
        <v>0</v>
      </c>
      <c r="K75" s="22">
        <f>IF(MOD(K6,3)=0,Assumptions!$F$67,0)</f>
        <v>700</v>
      </c>
      <c r="L75" s="22">
        <f>IF(MOD(L6,3)=0,Assumptions!$F$67,0)</f>
        <v>0</v>
      </c>
      <c r="M75" s="22">
        <f>IF(MOD(M6,3)=0,Assumptions!$F$67,0)</f>
        <v>0</v>
      </c>
      <c r="N75" s="22">
        <f>IF(MOD(N6,3)=0,Assumptions!$F$67,0)</f>
        <v>700</v>
      </c>
      <c r="O75" s="84">
        <f>SUM(C75:N75)</f>
        <v>2800</v>
      </c>
      <c r="P75" s="17" t="n"/>
    </row>
    <row r="76" ht="20" customHeight="1">
      <c r="A76" s="36" t="inlineStr">
        <is>
          <t>Corporate Tax compliance (accrual)</t>
        </is>
      </c>
      <c r="B76" s="107" t="inlineStr">
        <is>
          <t>1/12 of annual</t>
        </is>
      </c>
      <c r="C76" s="22">
        <f>Assumptions!$F$68/12</f>
        <v>333.3333333333333</v>
      </c>
      <c r="D76" s="22">
        <f>Assumptions!$F$68/12</f>
        <v>333.3333333333333</v>
      </c>
      <c r="E76" s="22">
        <f>Assumptions!$F$68/12</f>
        <v>333.3333333333333</v>
      </c>
      <c r="F76" s="22">
        <f>Assumptions!$F$68/12</f>
        <v>333.3333333333333</v>
      </c>
      <c r="G76" s="22">
        <f>Assumptions!$F$68/12</f>
        <v>333.3333333333333</v>
      </c>
      <c r="H76" s="22">
        <f>Assumptions!$F$68/12</f>
        <v>333.3333333333333</v>
      </c>
      <c r="I76" s="22">
        <f>Assumptions!$F$68/12</f>
        <v>333.3333333333333</v>
      </c>
      <c r="J76" s="22">
        <f>Assumptions!$F$68/12</f>
        <v>333.3333333333333</v>
      </c>
      <c r="K76" s="22">
        <f>Assumptions!$F$68/12</f>
        <v>333.3333333333333</v>
      </c>
      <c r="L76" s="22">
        <f>Assumptions!$F$68/12</f>
        <v>333.3333333333333</v>
      </c>
      <c r="M76" s="22">
        <f>Assumptions!$F$68/12</f>
        <v>333.3333333333333</v>
      </c>
      <c r="N76" s="22">
        <f>Assumptions!$F$68/12</f>
        <v>333.3333333333333</v>
      </c>
      <c r="O76" s="84">
        <f>SUM(C76:N76)</f>
        <v>4000.0000000000005</v>
      </c>
      <c r="P76" s="17" t="n"/>
    </row>
    <row r="77" ht="20" customHeight="1">
      <c r="A77" s="36" t="inlineStr">
        <is>
          <t>External audit (accrual)</t>
        </is>
      </c>
      <c r="B77" s="107" t="inlineStr">
        <is>
          <t>1/12 of annual</t>
        </is>
      </c>
      <c r="C77" s="22">
        <f>Assumptions!$F$69/12</f>
        <v>500</v>
      </c>
      <c r="D77" s="22">
        <f>Assumptions!$F$69/12</f>
        <v>500</v>
      </c>
      <c r="E77" s="22">
        <f>Assumptions!$F$69/12</f>
        <v>500</v>
      </c>
      <c r="F77" s="22">
        <f>Assumptions!$F$69/12</f>
        <v>500</v>
      </c>
      <c r="G77" s="22">
        <f>Assumptions!$F$69/12</f>
        <v>500</v>
      </c>
      <c r="H77" s="22">
        <f>Assumptions!$F$69/12</f>
        <v>500</v>
      </c>
      <c r="I77" s="22">
        <f>Assumptions!$F$69/12</f>
        <v>500</v>
      </c>
      <c r="J77" s="22">
        <f>Assumptions!$F$69/12</f>
        <v>500</v>
      </c>
      <c r="K77" s="22">
        <f>Assumptions!$F$69/12</f>
        <v>500</v>
      </c>
      <c r="L77" s="22">
        <f>Assumptions!$F$69/12</f>
        <v>500</v>
      </c>
      <c r="M77" s="22">
        <f>Assumptions!$F$69/12</f>
        <v>500</v>
      </c>
      <c r="N77" s="22">
        <f>Assumptions!$F$69/12</f>
        <v>500</v>
      </c>
      <c r="O77" s="84">
        <f>SUM(C77:N77)</f>
        <v>6000</v>
      </c>
      <c r="P77" s="17" t="n"/>
    </row>
    <row r="78" ht="20" customHeight="1">
      <c r="A78" s="36" t="inlineStr">
        <is>
          <t>PRO / government liaison (accrual)</t>
        </is>
      </c>
      <c r="B78" s="107" t="inlineStr">
        <is>
          <t>1/12 of annual</t>
        </is>
      </c>
      <c r="C78" s="22">
        <f>Assumptions!$F$70/12</f>
        <v>233.33333333333334</v>
      </c>
      <c r="D78" s="22">
        <f>Assumptions!$F$70/12</f>
        <v>233.33333333333334</v>
      </c>
      <c r="E78" s="22">
        <f>Assumptions!$F$70/12</f>
        <v>233.33333333333334</v>
      </c>
      <c r="F78" s="22">
        <f>Assumptions!$F$70/12</f>
        <v>233.33333333333334</v>
      </c>
      <c r="G78" s="22">
        <f>Assumptions!$F$70/12</f>
        <v>233.33333333333334</v>
      </c>
      <c r="H78" s="22">
        <f>Assumptions!$F$70/12</f>
        <v>233.33333333333334</v>
      </c>
      <c r="I78" s="22">
        <f>Assumptions!$F$70/12</f>
        <v>233.33333333333334</v>
      </c>
      <c r="J78" s="22">
        <f>Assumptions!$F$70/12</f>
        <v>233.33333333333334</v>
      </c>
      <c r="K78" s="22">
        <f>Assumptions!$F$70/12</f>
        <v>233.33333333333334</v>
      </c>
      <c r="L78" s="22">
        <f>Assumptions!$F$70/12</f>
        <v>233.33333333333334</v>
      </c>
      <c r="M78" s="22">
        <f>Assumptions!$F$70/12</f>
        <v>233.33333333333334</v>
      </c>
      <c r="N78" s="22">
        <f>Assumptions!$F$70/12</f>
        <v>233.33333333333334</v>
      </c>
      <c r="O78" s="84">
        <f>SUM(C78:N78)</f>
        <v>2800.0000000000005</v>
      </c>
      <c r="P78" s="17" t="n"/>
    </row>
    <row r="79" ht="20" customHeight="1">
      <c r="A79" s="36" t="inlineStr">
        <is>
          <t>Trade licence &amp; DET permit renewal (accrual)</t>
        </is>
      </c>
      <c r="B79" s="107" t="inlineStr">
        <is>
          <t>1/12 of annual</t>
        </is>
      </c>
      <c r="C79" s="22">
        <f>Assumptions!$F$71/12</f>
        <v>1583.3333333333333</v>
      </c>
      <c r="D79" s="22">
        <f>Assumptions!$F$71/12</f>
        <v>1583.3333333333333</v>
      </c>
      <c r="E79" s="22">
        <f>Assumptions!$F$71/12</f>
        <v>1583.3333333333333</v>
      </c>
      <c r="F79" s="22">
        <f>Assumptions!$F$71/12</f>
        <v>1583.3333333333333</v>
      </c>
      <c r="G79" s="22">
        <f>Assumptions!$F$71/12</f>
        <v>1583.3333333333333</v>
      </c>
      <c r="H79" s="22">
        <f>Assumptions!$F$71/12</f>
        <v>1583.3333333333333</v>
      </c>
      <c r="I79" s="22">
        <f>Assumptions!$F$71/12</f>
        <v>1583.3333333333333</v>
      </c>
      <c r="J79" s="22">
        <f>Assumptions!$F$71/12</f>
        <v>1583.3333333333333</v>
      </c>
      <c r="K79" s="22">
        <f>Assumptions!$F$71/12</f>
        <v>1583.3333333333333</v>
      </c>
      <c r="L79" s="22">
        <f>Assumptions!$F$71/12</f>
        <v>1583.3333333333333</v>
      </c>
      <c r="M79" s="22">
        <f>Assumptions!$F$71/12</f>
        <v>1583.3333333333333</v>
      </c>
      <c r="N79" s="22">
        <f>Assumptions!$F$71/12</f>
        <v>1583.3333333333333</v>
      </c>
      <c r="O79" s="84">
        <f>SUM(C79:N79)</f>
        <v>19000</v>
      </c>
      <c r="P79" s="17" t="n"/>
    </row>
    <row r="80" ht="20" customHeight="1">
      <c r="A80" s="36" t="inlineStr">
        <is>
          <t>Public liability &amp; PI insurance (accrual)</t>
        </is>
      </c>
      <c r="B80" s="107" t="inlineStr">
        <is>
          <t>1/12 of annual</t>
        </is>
      </c>
      <c r="C80" s="22">
        <f>Assumptions!$F$72/12</f>
        <v>458.3333333333333</v>
      </c>
      <c r="D80" s="22">
        <f>Assumptions!$F$72/12</f>
        <v>458.3333333333333</v>
      </c>
      <c r="E80" s="22">
        <f>Assumptions!$F$72/12</f>
        <v>458.3333333333333</v>
      </c>
      <c r="F80" s="22">
        <f>Assumptions!$F$72/12</f>
        <v>458.3333333333333</v>
      </c>
      <c r="G80" s="22">
        <f>Assumptions!$F$72/12</f>
        <v>458.3333333333333</v>
      </c>
      <c r="H80" s="22">
        <f>Assumptions!$F$72/12</f>
        <v>458.3333333333333</v>
      </c>
      <c r="I80" s="22">
        <f>Assumptions!$F$72/12</f>
        <v>458.3333333333333</v>
      </c>
      <c r="J80" s="22">
        <f>Assumptions!$F$72/12</f>
        <v>458.3333333333333</v>
      </c>
      <c r="K80" s="22">
        <f>Assumptions!$F$72/12</f>
        <v>458.3333333333333</v>
      </c>
      <c r="L80" s="22">
        <f>Assumptions!$F$72/12</f>
        <v>458.3333333333333</v>
      </c>
      <c r="M80" s="22">
        <f>Assumptions!$F$72/12</f>
        <v>458.3333333333333</v>
      </c>
      <c r="N80" s="22">
        <f>Assumptions!$F$72/12</f>
        <v>458.3333333333333</v>
      </c>
      <c r="O80" s="84">
        <f>SUM(C80:N80)</f>
        <v>5499.999999999999</v>
      </c>
      <c r="P80" s="17" t="n"/>
    </row>
    <row r="81" ht="20" customHeight="1">
      <c r="A81" s="36" t="inlineStr">
        <is>
          <t>Legal, contracts &amp; disputes (accrual)</t>
        </is>
      </c>
      <c r="B81" s="107" t="inlineStr">
        <is>
          <t>1/12 of annual</t>
        </is>
      </c>
      <c r="C81" s="22">
        <f>Assumptions!$F$73/12</f>
        <v>250</v>
      </c>
      <c r="D81" s="22">
        <f>Assumptions!$F$73/12</f>
        <v>250</v>
      </c>
      <c r="E81" s="22">
        <f>Assumptions!$F$73/12</f>
        <v>250</v>
      </c>
      <c r="F81" s="22">
        <f>Assumptions!$F$73/12</f>
        <v>250</v>
      </c>
      <c r="G81" s="22">
        <f>Assumptions!$F$73/12</f>
        <v>250</v>
      </c>
      <c r="H81" s="22">
        <f>Assumptions!$F$73/12</f>
        <v>250</v>
      </c>
      <c r="I81" s="22">
        <f>Assumptions!$F$73/12</f>
        <v>250</v>
      </c>
      <c r="J81" s="22">
        <f>Assumptions!$F$73/12</f>
        <v>250</v>
      </c>
      <c r="K81" s="22">
        <f>Assumptions!$F$73/12</f>
        <v>250</v>
      </c>
      <c r="L81" s="22">
        <f>Assumptions!$F$73/12</f>
        <v>250</v>
      </c>
      <c r="M81" s="22">
        <f>Assumptions!$F$73/12</f>
        <v>250</v>
      </c>
      <c r="N81" s="22">
        <f>Assumptions!$F$73/12</f>
        <v>250</v>
      </c>
      <c r="O81" s="84">
        <f>SUM(C81:N81)</f>
        <v>3000</v>
      </c>
      <c r="P81" s="17" t="n"/>
    </row>
    <row r="82">
      <c r="A82" s="61" t="inlineStr">
        <is>
          <t>TOTAL PROFESSIONAL &amp; COMPLIANCE</t>
        </is>
      </c>
      <c r="B82" s="30" t="n"/>
      <c r="C82" s="31">
        <f>SUM(C74:C81)</f>
        <v>4258.333333333333</v>
      </c>
      <c r="D82" s="31">
        <f>SUM(D74:D81)</f>
        <v>4258.333333333333</v>
      </c>
      <c r="E82" s="31">
        <f>SUM(E74:E81)</f>
        <v>4958.333333333333</v>
      </c>
      <c r="F82" s="31">
        <f>SUM(F74:F81)</f>
        <v>4258.333333333333</v>
      </c>
      <c r="G82" s="31">
        <f>SUM(G74:G81)</f>
        <v>4258.333333333333</v>
      </c>
      <c r="H82" s="31">
        <f>SUM(H74:H81)</f>
        <v>4958.333333333333</v>
      </c>
      <c r="I82" s="31">
        <f>SUM(I74:I81)</f>
        <v>4258.333333333333</v>
      </c>
      <c r="J82" s="31">
        <f>SUM(J74:J81)</f>
        <v>4258.333333333333</v>
      </c>
      <c r="K82" s="31">
        <f>SUM(K74:K81)</f>
        <v>4958.333333333333</v>
      </c>
      <c r="L82" s="31">
        <f>SUM(L74:L81)</f>
        <v>4258.333333333333</v>
      </c>
      <c r="M82" s="31">
        <f>SUM(M74:M81)</f>
        <v>4258.333333333333</v>
      </c>
      <c r="N82" s="31">
        <f>SUM(N74:N81)</f>
        <v>4958.333333333333</v>
      </c>
      <c r="O82" s="31">
        <f>SUM(C82:N82)</f>
        <v>53900.00000000001</v>
      </c>
      <c r="P82" s="113">
        <f>IF($O$87=0,0,$O82/$O$87)</f>
        <v>0.07551790559699831</v>
      </c>
    </row>
    <row r="84" ht="18" customHeight="1">
      <c r="A84" s="4" t="inlineStr">
        <is>
          <t>TOTAL OPERATING EXPENDITURE</t>
        </is>
      </c>
      <c r="B84" s="5" t="n"/>
      <c r="C84" s="5" t="n"/>
      <c r="D84" s="5" t="n"/>
      <c r="E84" s="5" t="n"/>
      <c r="F84" s="5" t="n"/>
      <c r="G84" s="5" t="n"/>
      <c r="H84" s="5" t="n"/>
      <c r="I84" s="5" t="n"/>
      <c r="J84" s="5" t="n"/>
      <c r="K84" s="5" t="n"/>
      <c r="L84" s="5" t="n"/>
      <c r="M84" s="5" t="n"/>
      <c r="N84" s="5" t="n"/>
      <c r="O84" s="5" t="n"/>
      <c r="P84" s="5" t="n"/>
    </row>
    <row r="85">
      <c r="A85" s="117" t="inlineStr">
        <is>
          <t>OPEX before contingency</t>
        </is>
      </c>
      <c r="B85" s="17" t="n"/>
      <c r="C85" s="25">
        <f>C22+C29+C38+C42+C53+C61+C71+C82</f>
        <v>23285.76083333333</v>
      </c>
      <c r="D85" s="25">
        <f>D22+D29+D38+D42+D53+D61+D71+D82</f>
        <v>26686.64083333333</v>
      </c>
      <c r="E85" s="25">
        <f>E22+E29+E38+E42+E53+E61+E71+E82</f>
        <v>28041.1475</v>
      </c>
      <c r="F85" s="25">
        <f>F22+F29+F38+F42+F53+F61+F71+F82</f>
        <v>33009.28083333333</v>
      </c>
      <c r="G85" s="25">
        <f>G22+G29+G38+G42+G53+G61+G71+G82</f>
        <v>39811.04083333334</v>
      </c>
      <c r="H85" s="25">
        <f>H22+H29+H38+H42+H53+H61+H71+H82</f>
        <v>47312.800833333335</v>
      </c>
      <c r="I85" s="25">
        <f>I22+I29+I38+I42+I53+I61+I71+I82</f>
        <v>54548.1875</v>
      </c>
      <c r="J85" s="25">
        <f>J22+J29+J38+J42+J53+J61+J71+J82</f>
        <v>66052.57416666666</v>
      </c>
      <c r="K85" s="25">
        <f>K22+K29+K38+K42+K53+K61+K71+K82</f>
        <v>75821.58750000001</v>
      </c>
      <c r="L85" s="25">
        <f>L22+L29+L38+L42+L53+L61+L71+L82</f>
        <v>84190.60083333333</v>
      </c>
      <c r="M85" s="25">
        <f>M22+M29+M38+M42+M53+M61+M71+M82</f>
        <v>93259.61416666665</v>
      </c>
      <c r="N85" s="25">
        <f>N22+N29+N38+N42+N53+N61+N71+N82</f>
        <v>107731.25416666667</v>
      </c>
      <c r="O85" s="25">
        <f>SUM(C85:N85)</f>
        <v>679750.49</v>
      </c>
      <c r="P85" s="17" t="n"/>
    </row>
    <row r="86">
      <c r="A86" s="118" t="inlineStr">
        <is>
          <t>Contingency</t>
        </is>
      </c>
      <c r="B86" s="16" t="inlineStr">
        <is>
          <t>% of OPEX</t>
        </is>
      </c>
      <c r="C86" s="22">
        <f>C85*Assumptions!$F$75</f>
        <v>1164.2880416666665</v>
      </c>
      <c r="D86" s="22">
        <f>D85*Assumptions!$F$75</f>
        <v>1334.3320416666666</v>
      </c>
      <c r="E86" s="22">
        <f>E85*Assumptions!$F$75</f>
        <v>1402.057375</v>
      </c>
      <c r="F86" s="22">
        <f>F85*Assumptions!$F$75</f>
        <v>1650.4640416666666</v>
      </c>
      <c r="G86" s="22">
        <f>G85*Assumptions!$F$75</f>
        <v>1990.552041666667</v>
      </c>
      <c r="H86" s="22">
        <f>H85*Assumptions!$F$75</f>
        <v>2365.640041666667</v>
      </c>
      <c r="I86" s="22">
        <f>I85*Assumptions!$F$75</f>
        <v>2727.409375</v>
      </c>
      <c r="J86" s="22">
        <f>J85*Assumptions!$F$75</f>
        <v>3302.628708333333</v>
      </c>
      <c r="K86" s="22">
        <f>K85*Assumptions!$F$75</f>
        <v>3791.0793750000007</v>
      </c>
      <c r="L86" s="22">
        <f>L85*Assumptions!$F$75</f>
        <v>4209.530041666667</v>
      </c>
      <c r="M86" s="22">
        <f>M85*Assumptions!$F$75</f>
        <v>4662.980708333333</v>
      </c>
      <c r="N86" s="22">
        <f>N85*Assumptions!$F$75</f>
        <v>5386.562708333334</v>
      </c>
      <c r="O86" s="25">
        <f>SUM(C86:N86)</f>
        <v>33987.5245</v>
      </c>
      <c r="P86" s="17" t="n"/>
    </row>
    <row r="87" ht="20" customHeight="1">
      <c r="A87" s="119" t="inlineStr">
        <is>
          <t>TOTAL OPEX</t>
        </is>
      </c>
      <c r="B87" s="5" t="n"/>
      <c r="C87" s="19">
        <f>C85+C86</f>
        <v>24450.048874999997</v>
      </c>
      <c r="D87" s="19">
        <f>D85+D86</f>
        <v>28020.972875</v>
      </c>
      <c r="E87" s="19">
        <f>E85+E86</f>
        <v>29443.204875</v>
      </c>
      <c r="F87" s="19">
        <f>F85+F86</f>
        <v>34659.744875</v>
      </c>
      <c r="G87" s="19">
        <f>G85+G86</f>
        <v>41801.59287500001</v>
      </c>
      <c r="H87" s="19">
        <f>H85+H86</f>
        <v>49678.440875</v>
      </c>
      <c r="I87" s="19">
        <f>I85+I86</f>
        <v>57275.596875</v>
      </c>
      <c r="J87" s="19">
        <f>J85+J86</f>
        <v>69355.20287499999</v>
      </c>
      <c r="K87" s="19">
        <f>K85+K86</f>
        <v>79612.66687500001</v>
      </c>
      <c r="L87" s="19">
        <f>L85+L86</f>
        <v>88400.130875</v>
      </c>
      <c r="M87" s="19">
        <f>M85+M86</f>
        <v>97922.59487499998</v>
      </c>
      <c r="N87" s="19">
        <f>N85+N86</f>
        <v>113117.816875</v>
      </c>
      <c r="O87" s="19">
        <f>SUM(C87:N87)</f>
        <v>713738.0144999999</v>
      </c>
      <c r="P87" s="5" t="n"/>
    </row>
    <row r="89" ht="18" customHeight="1">
      <c r="A89" s="4" t="inlineStr">
        <is>
          <t>SANITY CHECK  —  does the business cover its own costs?</t>
        </is>
      </c>
      <c r="B89" s="5" t="n"/>
      <c r="C89" s="5" t="n"/>
      <c r="D89" s="5" t="n"/>
      <c r="E89" s="5" t="n"/>
      <c r="F89" s="5" t="n"/>
      <c r="G89" s="5" t="n"/>
      <c r="H89" s="5" t="n"/>
      <c r="I89" s="5" t="n"/>
      <c r="J89" s="5" t="n"/>
      <c r="K89" s="5" t="n"/>
      <c r="L89" s="5" t="n"/>
      <c r="M89" s="5" t="n"/>
      <c r="N89" s="5" t="n"/>
      <c r="O89" s="5" t="n"/>
      <c r="P89" s="5" t="n"/>
    </row>
    <row r="90" ht="20" customHeight="1">
      <c r="A90" s="36" t="inlineStr">
        <is>
          <t>Orizuru revenue (management fees)</t>
        </is>
      </c>
      <c r="B90" s="107" t="inlineStr">
        <is>
          <t>From drivers</t>
        </is>
      </c>
      <c r="C90" s="22">
        <f>C12</f>
        <v>0</v>
      </c>
      <c r="D90" s="22">
        <f>D12</f>
        <v>6156</v>
      </c>
      <c r="E90" s="22">
        <f>E12</f>
        <v>14364</v>
      </c>
      <c r="F90" s="22">
        <f>F12</f>
        <v>24624</v>
      </c>
      <c r="G90" s="22">
        <f>G12</f>
        <v>36936</v>
      </c>
      <c r="H90" s="22">
        <f>H12</f>
        <v>49248</v>
      </c>
      <c r="I90" s="22">
        <f>I12</f>
        <v>63612</v>
      </c>
      <c r="J90" s="22">
        <f>J12</f>
        <v>77976</v>
      </c>
      <c r="K90" s="22">
        <f>K12</f>
        <v>94392</v>
      </c>
      <c r="L90" s="22">
        <f>L12</f>
        <v>110808</v>
      </c>
      <c r="M90" s="22">
        <f>M12</f>
        <v>127224</v>
      </c>
      <c r="N90" s="22">
        <f>N12</f>
        <v>145692</v>
      </c>
      <c r="O90" s="73">
        <f>SUM(C90:N90)</f>
        <v>751032</v>
      </c>
      <c r="P90" s="17" t="n"/>
    </row>
    <row r="91" ht="20" customHeight="1">
      <c r="A91" s="36" t="inlineStr">
        <is>
          <t>Total OPEX</t>
        </is>
      </c>
      <c r="B91" s="107" t="inlineStr"/>
      <c r="C91" s="22">
        <f>C87</f>
        <v>24450.048874999997</v>
      </c>
      <c r="D91" s="22">
        <f>D87</f>
        <v>28020.972875</v>
      </c>
      <c r="E91" s="22">
        <f>E87</f>
        <v>29443.204875</v>
      </c>
      <c r="F91" s="22">
        <f>F87</f>
        <v>34659.744875</v>
      </c>
      <c r="G91" s="22">
        <f>G87</f>
        <v>41801.59287500001</v>
      </c>
      <c r="H91" s="22">
        <f>H87</f>
        <v>49678.440875</v>
      </c>
      <c r="I91" s="22">
        <f>I87</f>
        <v>57275.596875</v>
      </c>
      <c r="J91" s="22">
        <f>J87</f>
        <v>69355.20287499999</v>
      </c>
      <c r="K91" s="22">
        <f>K87</f>
        <v>79612.66687500001</v>
      </c>
      <c r="L91" s="22">
        <f>L87</f>
        <v>88400.130875</v>
      </c>
      <c r="M91" s="22">
        <f>M87</f>
        <v>97922.59487499998</v>
      </c>
      <c r="N91" s="22">
        <f>N87</f>
        <v>113117.816875</v>
      </c>
      <c r="O91" s="73">
        <f>SUM(C91:N91)</f>
        <v>713738.0144999999</v>
      </c>
      <c r="P91" s="17" t="n"/>
    </row>
    <row r="92" ht="20" customHeight="1">
      <c r="A92" s="53" t="inlineStr">
        <is>
          <t>Operating surplus / (deficit) before tax &amp; depreciation</t>
        </is>
      </c>
      <c r="B92" s="107" t="inlineStr">
        <is>
          <t>Revenue less OPEX</t>
        </is>
      </c>
      <c r="C92" s="25">
        <f>C90-C91</f>
        <v>-24450.048874999997</v>
      </c>
      <c r="D92" s="25">
        <f>D90-D91</f>
        <v>-21864.972875</v>
      </c>
      <c r="E92" s="25">
        <f>E90-E91</f>
        <v>-15079.204875</v>
      </c>
      <c r="F92" s="25">
        <f>F90-F91</f>
        <v>-10035.744874999997</v>
      </c>
      <c r="G92" s="25">
        <f>G90-G91</f>
        <v>-4865.592875000009</v>
      </c>
      <c r="H92" s="25">
        <f>H90-H91</f>
        <v>-430.44087500000023</v>
      </c>
      <c r="I92" s="25">
        <f>I90-I91</f>
        <v>6336.403124999997</v>
      </c>
      <c r="J92" s="25">
        <f>J90-J91</f>
        <v>8620.797125000012</v>
      </c>
      <c r="K92" s="25">
        <f>K90-K91</f>
        <v>14779.33312499999</v>
      </c>
      <c r="L92" s="25">
        <f>L90-L91</f>
        <v>22407.869124999997</v>
      </c>
      <c r="M92" s="25">
        <f>M90-M91</f>
        <v>29301.40512500002</v>
      </c>
      <c r="N92" s="25">
        <f>N90-N91</f>
        <v>32574.183124999996</v>
      </c>
      <c r="O92" s="84">
        <f>SUM(C92:N92)</f>
        <v>37293.9855</v>
      </c>
      <c r="P92" s="17" t="n"/>
    </row>
    <row r="93" ht="20" customHeight="1">
      <c r="A93" s="53" t="inlineStr">
        <is>
          <t>Cumulative operating cash position</t>
        </is>
      </c>
      <c r="B93" s="107" t="inlineStr">
        <is>
          <t>Running</t>
        </is>
      </c>
      <c r="C93" s="25">
        <f>C92</f>
        <v>-24450.048874999997</v>
      </c>
      <c r="D93" s="25">
        <f>C93+D92</f>
        <v>-46315.02175</v>
      </c>
      <c r="E93" s="25">
        <f>D93+E92</f>
        <v>-61394.226624999996</v>
      </c>
      <c r="F93" s="25">
        <f>E93+F92</f>
        <v>-71429.97149999999</v>
      </c>
      <c r="G93" s="25">
        <f>F93+G92</f>
        <v>-76295.56437499999</v>
      </c>
      <c r="H93" s="25">
        <f>G93+H92</f>
        <v>-76726.00524999999</v>
      </c>
      <c r="I93" s="25">
        <f>H93+I92</f>
        <v>-70389.60212499999</v>
      </c>
      <c r="J93" s="25">
        <f>I93+J92</f>
        <v>-61768.80499999998</v>
      </c>
      <c r="K93" s="25">
        <f>J93+K92</f>
        <v>-46989.47187499999</v>
      </c>
      <c r="L93" s="25">
        <f>K93+L92</f>
        <v>-24581.60274999999</v>
      </c>
      <c r="M93" s="25">
        <f>L93+M92</f>
        <v>4719.802375000028</v>
      </c>
      <c r="N93" s="25">
        <f>M93+N92</f>
        <v>37293.985500000024</v>
      </c>
      <c r="O93" s="84">
        <f>N93</f>
        <v>37293.985500000024</v>
      </c>
      <c r="P93" s="17" t="n"/>
    </row>
    <row r="94" ht="20" customHeight="1">
      <c r="A94" s="36" t="inlineStr">
        <is>
          <t>OPEX as % of Orizuru revenue</t>
        </is>
      </c>
      <c r="B94" s="107" t="inlineStr">
        <is>
          <t>Lower is better</t>
        </is>
      </c>
      <c r="C94" s="26">
        <f>IF(C90=0,0,C91/C90)</f>
        <v>0</v>
      </c>
      <c r="D94" s="26">
        <f>IF(D90=0,0,D91/D90)</f>
        <v>4.551814956952566</v>
      </c>
      <c r="E94" s="26">
        <f>IF(E90=0,0,E91/E90)</f>
        <v>2.0497914839181286</v>
      </c>
      <c r="F94" s="26">
        <f>IF(F90=0,0,F91/F90)</f>
        <v>1.4075594897254708</v>
      </c>
      <c r="G94" s="26">
        <f>IF(G90=0,0,G91/G90)</f>
        <v>1.1317303680690927</v>
      </c>
      <c r="H94" s="26">
        <f>IF(H90=0,0,H91/H90)</f>
        <v>1.008740271178525</v>
      </c>
      <c r="I94" s="26">
        <f>IF(I90=0,0,I91/I90)</f>
        <v>0.9003898144218072</v>
      </c>
      <c r="J94" s="26">
        <f>IF(J90=0,0,J91/J90)</f>
        <v>0.8894429423797064</v>
      </c>
      <c r="K94" s="26">
        <f>IF(K90=0,0,K91/K90)</f>
        <v>0.8434259987604883</v>
      </c>
      <c r="L94" s="26">
        <f>IF(L90=0,0,L91/L90)</f>
        <v>0.7977775149357448</v>
      </c>
      <c r="M94" s="26">
        <f>IF(M90=0,0,M91/M90)</f>
        <v>0.7696864968480788</v>
      </c>
      <c r="N94" s="26">
        <f>IF(N90=0,0,N91/N90)</f>
        <v>0.776417489464075</v>
      </c>
      <c r="O94" s="72">
        <f>IF(O90=0,0,O91/O90)</f>
        <v>0.9503430140127184</v>
      </c>
      <c r="P94" s="17" t="n"/>
    </row>
    <row r="95" ht="20" customHeight="1">
      <c r="A95" s="36" t="inlineStr">
        <is>
          <t>OPEX per live unit</t>
        </is>
      </c>
      <c r="B95" s="107" t="inlineStr">
        <is>
          <t>Efficiency metric</t>
        </is>
      </c>
      <c r="C95" s="22">
        <f>IF(C9=0,0,C91/C9)</f>
        <v>0</v>
      </c>
      <c r="D95" s="22">
        <f>IF(D9=0,0,D91/D9)</f>
        <v>9340.324291666666</v>
      </c>
      <c r="E95" s="22">
        <f>IF(E9=0,0,E91/E9)</f>
        <v>4206.172125</v>
      </c>
      <c r="F95" s="22">
        <f>IF(F9=0,0,F91/F9)</f>
        <v>2888.3120729166662</v>
      </c>
      <c r="G95" s="22">
        <f>IF(G9=0,0,G91/G9)</f>
        <v>2322.3107152777784</v>
      </c>
      <c r="H95" s="22">
        <f>IF(H9=0,0,H91/H9)</f>
        <v>2069.9350364583333</v>
      </c>
      <c r="I95" s="22">
        <f>IF(I9=0,0,I91/I9)</f>
        <v>1847.5998991935485</v>
      </c>
      <c r="J95" s="22">
        <f>IF(J9=0,0,J91/J9)</f>
        <v>1825.1369177631575</v>
      </c>
      <c r="K95" s="22">
        <f>IF(K9=0,0,K91/K9)</f>
        <v>1730.710149456522</v>
      </c>
      <c r="L95" s="22">
        <f>IF(L9=0,0,L91/L9)</f>
        <v>1637.0394606481482</v>
      </c>
      <c r="M95" s="22">
        <f>IF(M9=0,0,M91/M9)</f>
        <v>1579.3966915322578</v>
      </c>
      <c r="N95" s="22">
        <f>IF(N9=0,0,N91/N9)</f>
        <v>1593.2086883802817</v>
      </c>
      <c r="O95" s="84">
        <f>IF(N9=0,0,N91/N9)</f>
        <v>1593.2086883802817</v>
      </c>
      <c r="P95" s="17" t="n"/>
    </row>
  </sheetData>
  <mergeCells count="13">
    <mergeCell ref="A63:P63"/>
    <mergeCell ref="A5:P5"/>
    <mergeCell ref="A84:P84"/>
    <mergeCell ref="A89:P89"/>
    <mergeCell ref="A44:P44"/>
    <mergeCell ref="A1:P1"/>
    <mergeCell ref="A40:P40"/>
    <mergeCell ref="A31:P31"/>
    <mergeCell ref="A55:P55"/>
    <mergeCell ref="A73:P73"/>
    <mergeCell ref="A16:P16"/>
    <mergeCell ref="A24:P24"/>
    <mergeCell ref="A2:P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44" customWidth="1" min="1" max="1"/>
    <col width="17" customWidth="1" min="2" max="2"/>
    <col width="17" customWidth="1" min="3" max="3"/>
    <col width="17" customWidth="1" min="4" max="4"/>
    <col width="3" customWidth="1" min="5" max="5"/>
    <col width="3" customWidth="1" min="6" max="6"/>
    <col width="62" customWidth="1" min="7" max="7"/>
  </cols>
  <sheetData>
    <row r="1" ht="26" customHeight="1">
      <c r="A1" s="1" t="inlineStr">
        <is>
          <t>MARKETING OPTION 1 vs OPTION 2 — THE MONTH-3 DECISION</t>
        </is>
      </c>
      <c r="B1" s="2" t="n"/>
      <c r="C1" s="2" t="n"/>
      <c r="D1" s="2" t="n"/>
      <c r="E1" s="2" t="n"/>
      <c r="F1" s="2" t="n"/>
      <c r="G1" s="2" t="n"/>
    </row>
    <row r="2" ht="16" customHeight="1">
      <c r="A2" s="3" t="inlineStr">
        <is>
          <t>Both options run in parallel for Months 1–2 per management. This tab is what you use to pick one.</t>
        </is>
      </c>
      <c r="B2" s="2" t="n"/>
      <c r="C2" s="2" t="n"/>
      <c r="D2" s="2" t="n"/>
      <c r="E2" s="2" t="n"/>
      <c r="F2" s="2" t="n"/>
      <c r="G2" s="2" t="n"/>
    </row>
    <row r="4" ht="18" customHeight="1">
      <c r="A4" s="4" t="inlineStr">
        <is>
          <t>HEAD-TO-HEAD, STEADY-STATE MONTHLY COST</t>
        </is>
      </c>
      <c r="B4" s="5" t="n"/>
      <c r="C4" s="5" t="n"/>
      <c r="D4" s="5" t="n"/>
      <c r="E4" s="5" t="n"/>
      <c r="F4" s="5" t="n"/>
      <c r="G4" s="5" t="n"/>
    </row>
    <row r="5" ht="26" customHeight="1">
      <c r="A5" s="13" t="inlineStr">
        <is>
          <t>Component</t>
        </is>
      </c>
      <c r="B5" s="13" t="inlineStr">
        <is>
          <t>Option 1 — Fully online</t>
        </is>
      </c>
      <c r="C5" s="13" t="inlineStr">
        <is>
          <t>Option 2 — Remote office</t>
        </is>
      </c>
      <c r="D5" s="13" t="inlineStr">
        <is>
          <t>Difference</t>
        </is>
      </c>
      <c r="E5" s="7" t="n"/>
      <c r="F5" s="7" t="n"/>
      <c r="G5" s="13" t="inlineStr">
        <is>
          <t>Comment</t>
        </is>
      </c>
    </row>
    <row r="6" ht="24" customHeight="1">
      <c r="A6" s="14" t="inlineStr">
        <is>
          <t>Team cost</t>
        </is>
      </c>
      <c r="B6" s="22">
        <f>Assumptions!$F$26*Assumptions!$F$27</f>
        <v>1800</v>
      </c>
      <c r="C6" s="22">
        <f>Assumptions!$F$32*Assumptions!$F$33</f>
        <v>1200</v>
      </c>
      <c r="D6" s="22">
        <f>B6-C6</f>
        <v>600</v>
      </c>
      <c r="E6" s="17" t="n"/>
      <c r="F6" s="17" t="n"/>
      <c r="G6" s="21" t="inlineStr">
        <is>
          <t>Option 2 buys roughly double the headcount for less money — offshore rates outside the UAE.</t>
        </is>
      </c>
    </row>
    <row r="7" ht="24" customHeight="1">
      <c r="A7" s="14" t="inlineStr">
        <is>
          <t>Coworking / premises rent</t>
        </is>
      </c>
      <c r="B7" s="22">
        <f>0</f>
        <v>0</v>
      </c>
      <c r="C7" s="22">
        <f>Assumptions!$F$34</f>
        <v>1425</v>
      </c>
      <c r="D7" s="22">
        <f>B7-C7</f>
        <v>-1425</v>
      </c>
      <c r="E7" s="17" t="n"/>
      <c r="F7" s="17" t="n"/>
      <c r="G7" s="21" t="inlineStr">
        <is>
          <t>Option 1 has no premises. This is the single line that erodes Option 2's labour-cost advantage.</t>
        </is>
      </c>
    </row>
    <row r="8" ht="24" customHeight="1">
      <c r="A8" s="14" t="inlineStr">
        <is>
          <t>Local internet, utilities &amp; equipment</t>
        </is>
      </c>
      <c r="B8" s="22">
        <f>0</f>
        <v>0</v>
      </c>
      <c r="C8" s="22">
        <f>Assumptions!$F$35</f>
        <v>350</v>
      </c>
      <c r="D8" s="22">
        <f>B8-C8</f>
        <v>-350</v>
      </c>
      <c r="E8" s="17" t="n"/>
      <c r="F8" s="17" t="n"/>
      <c r="G8" s="21" t="inlineStr">
        <is>
          <t>Physical office overhead.</t>
        </is>
      </c>
    </row>
    <row r="9" ht="24" customHeight="1">
      <c r="A9" s="14" t="inlineStr">
        <is>
          <t>On-site supervisor / team lead</t>
        </is>
      </c>
      <c r="B9" s="22">
        <f>Assumptions!$F$30</f>
        <v>300</v>
      </c>
      <c r="C9" s="22">
        <f>Assumptions!$F$36</f>
        <v>500</v>
      </c>
      <c r="D9" s="22">
        <f>B9-C9</f>
        <v>-200</v>
      </c>
      <c r="E9" s="17" t="n"/>
      <c r="F9" s="17" t="n"/>
      <c r="G9" s="21" t="inlineStr">
        <is>
          <t>Option 1 needs light remote QA; Option 2 needs someone in the room.</t>
        </is>
      </c>
    </row>
    <row r="10" ht="24" customHeight="1">
      <c r="A10" s="14" t="inlineStr">
        <is>
          <t>Digital ads &amp; lead generation</t>
        </is>
      </c>
      <c r="B10" s="22">
        <f>Assumptions!$F$28</f>
        <v>1500</v>
      </c>
      <c r="C10" s="22">
        <f>Assumptions!$F$37</f>
        <v>900</v>
      </c>
      <c r="D10" s="22">
        <f>B10-C10</f>
        <v>600</v>
      </c>
      <c r="E10" s="17" t="n"/>
      <c r="F10" s="17" t="n"/>
      <c r="G10" s="21" t="inlineStr">
        <is>
          <t>Option 1 leans on paid leads; Option 2 leans on manual prospecting volume.</t>
        </is>
      </c>
    </row>
    <row r="11" ht="24" customHeight="1">
      <c r="A11" s="14" t="inlineStr">
        <is>
          <t>Outreach tooling &amp; CRM</t>
        </is>
      </c>
      <c r="B11" s="22">
        <f>Assumptions!$F$29</f>
        <v>280</v>
      </c>
      <c r="C11" s="22">
        <f>0</f>
        <v>0</v>
      </c>
      <c r="D11" s="22">
        <f>B11-C11</f>
        <v>280</v>
      </c>
      <c r="E11" s="17" t="n"/>
      <c r="F11" s="17" t="n"/>
      <c r="G11" s="21" t="inlineStr">
        <is>
          <t>Option 1 is tooling-dependent by design.</t>
        </is>
      </c>
    </row>
    <row r="12" ht="24" customHeight="1">
      <c r="A12" s="14" t="inlineStr">
        <is>
          <t>Offshore contracting / compliance</t>
        </is>
      </c>
      <c r="B12" s="22">
        <f>0</f>
        <v>0</v>
      </c>
      <c r="C12" s="22">
        <f>Assumptions!$F$38</f>
        <v>400</v>
      </c>
      <c r="D12" s="22">
        <f>B12-C12</f>
        <v>-400</v>
      </c>
      <c r="E12" s="17" t="n"/>
      <c r="F12" s="17" t="n"/>
      <c r="G12" s="21" t="inlineStr">
        <is>
          <t>Engaging staff outside the UAE needs a compliant route. Not in the original brief — flagged, not hidden.</t>
        </is>
      </c>
    </row>
    <row r="13" ht="20" customHeight="1">
      <c r="A13" s="18" t="inlineStr">
        <is>
          <t>TOTAL FIXED MONTHLY COST</t>
        </is>
      </c>
      <c r="B13" s="19">
        <f>SUM(B6:B12)</f>
        <v>3880</v>
      </c>
      <c r="C13" s="19">
        <f>SUM(C6:C12)</f>
        <v>4775</v>
      </c>
      <c r="D13" s="19">
        <f>SUM(D6:D12)</f>
        <v>-895</v>
      </c>
      <c r="E13" s="5" t="n"/>
      <c r="F13" s="5" t="n"/>
      <c r="G13" s="5" t="n"/>
    </row>
    <row r="14">
      <c r="A14" s="79" t="inlineStr">
        <is>
          <t>Headcount</t>
        </is>
      </c>
      <c r="B14" s="120">
        <f>Assumptions!$F$26</f>
        <v>3</v>
      </c>
      <c r="C14" s="120">
        <f>Assumptions!$F$32</f>
        <v>5</v>
      </c>
      <c r="D14" s="120">
        <f>B14-C14</f>
        <v>-2</v>
      </c>
      <c r="G14" s="62" t="inlineStr">
        <is>
          <t>Both at 4 hours per day per management.</t>
        </is>
      </c>
    </row>
    <row r="15" ht="26" customHeight="1">
      <c r="A15" s="79" t="inlineStr">
        <is>
          <t>Cost per head</t>
        </is>
      </c>
      <c r="B15" s="99">
        <f>IF(B14=0,0,B13/B14)</f>
        <v>1293.3333333333333</v>
      </c>
      <c r="C15" s="99">
        <f>IF(C14=0,0,C13/C14)</f>
        <v>955</v>
      </c>
      <c r="D15" s="99">
        <f>B15-C15</f>
        <v>338.33333333333326</v>
      </c>
      <c r="G15" s="102" t="inlineStr">
        <is>
          <t>All-in cost of one working person, including their share of premises and tooling. This is the number that actually decides it.</t>
        </is>
      </c>
    </row>
    <row r="17" ht="18" customHeight="1">
      <c r="A17" s="4" t="inlineStr">
        <is>
          <t>BREAK-EVEN  —  how many units must each option sign to pay for itself?</t>
        </is>
      </c>
      <c r="B17" s="5" t="n"/>
      <c r="C17" s="5" t="n"/>
      <c r="D17" s="5" t="n"/>
      <c r="E17" s="5" t="n"/>
      <c r="F17" s="5" t="n"/>
      <c r="G17" s="5" t="n"/>
    </row>
    <row r="18">
      <c r="A18" s="79" t="inlineStr">
        <is>
          <t>Orizuru revenue per live unit per month</t>
        </is>
      </c>
      <c r="B18" s="97">
        <f>Assumptions!$F$16</f>
        <v>2052</v>
      </c>
      <c r="G18" s="62" t="inlineStr">
        <is>
          <t>From the Assumptions tab.</t>
        </is>
      </c>
    </row>
    <row r="19" ht="26" customHeight="1">
      <c r="A19" s="8" t="inlineStr">
        <is>
          <t>Units needed to cover the option's fixed cost</t>
        </is>
      </c>
      <c r="B19" s="121">
        <f>IF($B$18=0,0,B13/$B$18)</f>
        <v>1.8908382066276803</v>
      </c>
      <c r="C19" s="121">
        <f>IF($B$18=0,0,C13/$B$18)</f>
        <v>2.326998050682261</v>
      </c>
      <c r="G19" s="102" t="inlineStr">
        <is>
          <t>Each option only has to sign this many units to wash its own face. Both numbers are small — which is why running both for two months is a cheap experiment, not a risk.</t>
        </is>
      </c>
    </row>
    <row r="21" ht="18" customHeight="1">
      <c r="A21" s="4" t="inlineStr">
        <is>
          <t>COST OF THE 2-MONTH PARALLEL RUN</t>
        </is>
      </c>
      <c r="B21" s="5" t="n"/>
      <c r="C21" s="5" t="n"/>
      <c r="D21" s="5" t="n"/>
      <c r="E21" s="5" t="n"/>
      <c r="F21" s="5" t="n"/>
      <c r="G21" s="5" t="n"/>
    </row>
    <row r="22">
      <c r="A22" s="79" t="inlineStr">
        <is>
          <t>Both options, Months 1–2 combined</t>
        </is>
      </c>
      <c r="B22" s="99">
        <f>(B13+C13)*Assumptions!$B$7</f>
        <v>17310</v>
      </c>
      <c r="G22" s="62" t="inlineStr">
        <is>
          <t>The total price of the experiment specified by management.</t>
        </is>
      </c>
    </row>
    <row r="23">
      <c r="A23" s="79" t="inlineStr">
        <is>
          <t>Incremental cost vs running the cheaper option alone</t>
        </is>
      </c>
      <c r="B23" s="99">
        <f>(MAX(B13,C13))*Assumptions!$B$7</f>
        <v>9550</v>
      </c>
      <c r="G23" s="102" t="inlineStr">
        <is>
          <t>What the second option costs you on top. Judge the experiment against this, not the gross figure.</t>
        </is>
      </c>
    </row>
    <row r="24" ht="26" customHeight="1">
      <c r="A24" s="8" t="inlineStr">
        <is>
          <t>Units the experiment must produce to justify itself</t>
        </is>
      </c>
      <c r="B24" s="121">
        <f>IF($B$18=0,0,B23/$B$18)</f>
        <v>4.653996101364522</v>
      </c>
      <c r="G24" s="102" t="inlineStr">
        <is>
          <t>If the losing option signs at least this many units in two months, the experiment paid for itself regardless of which one you keep.</t>
        </is>
      </c>
    </row>
    <row r="26" ht="18" customHeight="1">
      <c r="A26" s="4" t="inlineStr">
        <is>
          <t>WHAT TO MEASURE BEFORE YOU DECIDE IN MONTH 3</t>
        </is>
      </c>
      <c r="B26" s="5" t="n"/>
      <c r="C26" s="5" t="n"/>
      <c r="D26" s="5" t="n"/>
      <c r="E26" s="5" t="n"/>
      <c r="F26" s="5" t="n"/>
      <c r="G26" s="5" t="n"/>
    </row>
    <row r="27" ht="19" customHeight="1">
      <c r="A27" s="33" t="inlineStr">
        <is>
          <t>•  Units signed per option — the only metric that ultimately matters.</t>
        </is>
      </c>
    </row>
    <row r="28" ht="19" customHeight="1">
      <c r="A28" s="33" t="inlineStr">
        <is>
          <t>•  Cost per signed unit = the option's 2-month cost / units it signed. Compare directly.</t>
        </is>
      </c>
    </row>
    <row r="29" ht="19" customHeight="1">
      <c r="A29" s="33" t="inlineStr">
        <is>
          <t>•  Owner meetings booked per person per week — tells you whether the difference is effort or conversion.</t>
        </is>
      </c>
    </row>
    <row r="30" ht="19" customHeight="1">
      <c r="A30" s="33" t="inlineStr">
        <is>
          <t>•  Lead-to-meeting and meeting-to-signature conversion rates, tracked separately per option.</t>
        </is>
      </c>
    </row>
    <row r="31" ht="19" customHeight="1">
      <c r="A31" s="33" t="inlineStr">
        <is>
          <t>•  Quality of units signed: a team that signs cheap studios in weak buildings is not outperforming.</t>
        </is>
      </c>
    </row>
    <row r="32" ht="19" customHeight="1">
      <c r="A32" s="33" t="inlineStr">
        <is>
          <t>•  Attrition and reliability — Option 2's larger offshore team carries more people risk.</t>
        </is>
      </c>
    </row>
    <row r="33" ht="19" customHeight="1">
      <c r="A33" s="33" t="inlineStr">
        <is>
          <t>•  Language and time-zone fit with Dubai property owners. Under-weighted and it decides more deals than price does.</t>
        </is>
      </c>
    </row>
    <row r="35" ht="18" customHeight="1">
      <c r="A35" s="4" t="inlineStr">
        <is>
          <t>READ-ACROSS</t>
        </is>
      </c>
      <c r="B35" s="5" t="n"/>
      <c r="C35" s="5" t="n"/>
      <c r="D35" s="5" t="n"/>
      <c r="E35" s="5" t="n"/>
      <c r="F35" s="5" t="n"/>
      <c r="G35" s="5" t="n"/>
    </row>
    <row r="36" ht="32" customHeight="1">
      <c r="A36" s="33" t="inlineStr">
        <is>
          <t>•  Option 2 typically wins on raw cost per head even after paying coworking rent, because it buys 4–6 people for roughly what 2–4 cost online. Its risk is not cost — it is supervision and consistency.</t>
        </is>
      </c>
    </row>
    <row r="37" ht="32" customHeight="1">
      <c r="A37" s="33" t="inlineStr">
        <is>
          <t>•  Option 1's real cost is the ads budget, not the salaries. Strip the ad spend out and it looks cheap, but a fully-online team with no lead flow signs nothing.</t>
        </is>
      </c>
    </row>
    <row r="38" ht="32" customHeight="1">
      <c r="A38" s="33" t="inlineStr">
        <is>
          <t>•  The 2% trailing commission applies identically to both options, so it does not affect the choice — but it does mean marketing cost keeps growing with the portfolio long after the team is fixed. See the OPEX Monthly tab.</t>
        </is>
      </c>
    </row>
    <row r="39" ht="19" customHeight="1">
      <c r="A39" s="33" t="inlineStr">
        <is>
          <t>•  Whatever you choose, the decision should be made on cost per SIGNED UNIT, not on total spend.</t>
        </is>
      </c>
    </row>
  </sheetData>
  <mergeCells count="18">
    <mergeCell ref="A32:G32"/>
    <mergeCell ref="A36:G36"/>
    <mergeCell ref="A1:G1"/>
    <mergeCell ref="A17:G17"/>
    <mergeCell ref="A27:G27"/>
    <mergeCell ref="A31:G31"/>
    <mergeCell ref="A21:G21"/>
    <mergeCell ref="A39:G39"/>
    <mergeCell ref="A35:G35"/>
    <mergeCell ref="A4:G4"/>
    <mergeCell ref="A26:G26"/>
    <mergeCell ref="A30:G30"/>
    <mergeCell ref="A2:G2"/>
    <mergeCell ref="A38:G38"/>
    <mergeCell ref="A29:G29"/>
    <mergeCell ref="A33:G33"/>
    <mergeCell ref="A28:G28"/>
    <mergeCell ref="A37:G3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30" customWidth="1" min="1" max="1"/>
    <col width="22" customWidth="1" min="2" max="2"/>
    <col width="8" customWidth="1" min="3" max="3"/>
    <col width="18" customWidth="1" min="4" max="4"/>
    <col width="17" customWidth="1" min="5" max="5"/>
    <col width="17" customWidth="1" min="6" max="6"/>
    <col width="66" customWidth="1" min="7" max="7"/>
  </cols>
  <sheetData>
    <row r="1" ht="26" customHeight="1">
      <c r="A1" s="1" t="inlineStr">
        <is>
          <t>AI SUBSCRIPTIONS — DETAIL</t>
        </is>
      </c>
      <c r="B1" s="2" t="n"/>
      <c r="C1" s="2" t="n"/>
      <c r="D1" s="2" t="n"/>
      <c r="E1" s="2" t="n"/>
      <c r="F1" s="2" t="n"/>
      <c r="G1" s="2" t="n"/>
    </row>
    <row r="2" ht="16" customHeight="1">
      <c r="A2" s="3" t="inlineStr">
        <is>
          <t>Specified by management. Feeds the 'AI subscriptions' line in the OPEX model. USD converted at the pegged AED rate.</t>
        </is>
      </c>
      <c r="B2" s="2" t="n"/>
      <c r="C2" s="2" t="n"/>
      <c r="D2" s="2" t="n"/>
      <c r="E2" s="2" t="n"/>
      <c r="F2" s="2" t="n"/>
      <c r="G2" s="2" t="n"/>
    </row>
    <row r="4">
      <c r="A4" s="79" t="inlineStr">
        <is>
          <t>USD/AED peg</t>
        </is>
      </c>
      <c r="B4" s="122" t="n">
        <v>3.6725</v>
      </c>
      <c r="C4" s="62" t="inlineStr">
        <is>
          <t>AED is pegged to USD at 3.6725. Fixed, so no FX risk on these subscriptions.</t>
        </is>
      </c>
    </row>
    <row r="6" ht="30" customHeight="1">
      <c r="A6" s="13" t="inlineStr">
        <is>
          <t>Tool</t>
        </is>
      </c>
      <c r="B6" s="13" t="inlineStr">
        <is>
          <t>Plan</t>
        </is>
      </c>
      <c r="C6" s="13" t="inlineStr">
        <is>
          <t>Seats</t>
        </is>
      </c>
      <c r="D6" s="13" t="inlineStr">
        <is>
          <t>Price/seat (USD, monthly)</t>
        </is>
      </c>
      <c r="E6" s="13" t="inlineStr">
        <is>
          <t>Monthly cost (AED)</t>
        </is>
      </c>
      <c r="F6" s="13" t="inlineStr">
        <is>
          <t>Annual cost (AED)</t>
        </is>
      </c>
      <c r="G6" s="13" t="inlineStr">
        <is>
          <t>What it does for Orizuru</t>
        </is>
      </c>
    </row>
    <row r="7" ht="24" customHeight="1">
      <c r="A7" s="14" t="inlineStr">
        <is>
          <t>Claude</t>
        </is>
      </c>
      <c r="B7" s="14" t="inlineStr">
        <is>
          <t>Max (5x)</t>
        </is>
      </c>
      <c r="C7" s="95" t="n">
        <v>1</v>
      </c>
      <c r="D7" s="123" t="n">
        <v>100</v>
      </c>
      <c r="E7" s="22">
        <f>C7*D7*$B$4</f>
        <v>367.25</v>
      </c>
      <c r="F7" s="22">
        <f>E7*12</f>
        <v>4407</v>
      </c>
      <c r="G7" s="21" t="inlineStr">
        <is>
          <t>Core workhorse: owner proposals, management contracts, DET compliance drafting, financial reporting, guest-comms tone-of-voice.</t>
        </is>
      </c>
    </row>
    <row r="8" ht="24" customHeight="1">
      <c r="A8" s="14" t="inlineStr">
        <is>
          <t>Claude</t>
        </is>
      </c>
      <c r="B8" s="14" t="inlineStr">
        <is>
          <t>Pro</t>
        </is>
      </c>
      <c r="C8" s="95" t="n">
        <v>2</v>
      </c>
      <c r="D8" s="123" t="n">
        <v>20</v>
      </c>
      <c r="E8" s="22">
        <f>C8*D8*$B$4</f>
        <v>146.9</v>
      </c>
      <c r="F8" s="22">
        <f>E8*12</f>
        <v>1762.8000000000002</v>
      </c>
      <c r="G8" s="21" t="inlineStr">
        <is>
          <t>Seats for the operations staff member and the marketing team lead.</t>
        </is>
      </c>
    </row>
    <row r="9" ht="24" customHeight="1">
      <c r="A9" s="14" t="inlineStr">
        <is>
          <t>ChatGPT</t>
        </is>
      </c>
      <c r="B9" s="14" t="inlineStr">
        <is>
          <t>Business</t>
        </is>
      </c>
      <c r="C9" s="95" t="n">
        <v>2</v>
      </c>
      <c r="D9" s="123" t="n">
        <v>25</v>
      </c>
      <c r="E9" s="22">
        <f>C9*D9*$B$4</f>
        <v>183.625</v>
      </c>
      <c r="F9" s="22">
        <f>E9*12</f>
        <v>2203.5</v>
      </c>
      <c r="G9" s="21" t="inlineStr">
        <is>
          <t>Second-opinion model plus image generation for listing and social content.</t>
        </is>
      </c>
    </row>
    <row r="10" ht="24" customHeight="1">
      <c r="A10" s="14" t="inlineStr">
        <is>
          <t>Google Gemini</t>
        </is>
      </c>
      <c r="B10" s="14" t="inlineStr">
        <is>
          <t>AI Pro (via Workspace)</t>
        </is>
      </c>
      <c r="C10" s="95" t="n">
        <v>2</v>
      </c>
      <c r="D10" s="123" t="n">
        <v>20</v>
      </c>
      <c r="E10" s="22">
        <f>C10*D10*$B$4</f>
        <v>146.9</v>
      </c>
      <c r="F10" s="22">
        <f>E10*12</f>
        <v>1762.8000000000002</v>
      </c>
      <c r="G10" s="21" t="inlineStr">
        <is>
          <t>Long-context document review and Sheets/Docs automation for owner reporting.</t>
        </is>
      </c>
    </row>
    <row r="11" ht="24" customHeight="1">
      <c r="A11" s="14" t="inlineStr">
        <is>
          <t>Perplexity</t>
        </is>
      </c>
      <c r="B11" s="14" t="inlineStr">
        <is>
          <t>Pro</t>
        </is>
      </c>
      <c r="C11" s="95" t="n">
        <v>1</v>
      </c>
      <c r="D11" s="123" t="n">
        <v>20</v>
      </c>
      <c r="E11" s="22">
        <f>C11*D11*$B$4</f>
        <v>73.45</v>
      </c>
      <c r="F11" s="22">
        <f>E11*12</f>
        <v>881.4000000000001</v>
      </c>
      <c r="G11" s="21" t="inlineStr">
        <is>
          <t>Live comparable-rate research: what competing units in the same tower are charging tonight.</t>
        </is>
      </c>
    </row>
    <row r="12" ht="24" customHeight="1">
      <c r="A12" s="14" t="inlineStr">
        <is>
          <t>Canva</t>
        </is>
      </c>
      <c r="B12" s="14" t="inlineStr">
        <is>
          <t>Pro / Teams</t>
        </is>
      </c>
      <c r="C12" s="95" t="n">
        <v>2</v>
      </c>
      <c r="D12" s="123" t="n">
        <v>15</v>
      </c>
      <c r="E12" s="22">
        <f>C12*D12*$B$4</f>
        <v>110.175</v>
      </c>
      <c r="F12" s="22">
        <f>E12*12</f>
        <v>1322.1</v>
      </c>
      <c r="G12" s="21" t="inlineStr">
        <is>
          <t>Listing graphics, owner pitch decks, social content at volume without a designer.</t>
        </is>
      </c>
    </row>
    <row r="13" ht="24" customHeight="1">
      <c r="A13" s="14" t="inlineStr">
        <is>
          <t>PMS AI guest-messaging add-on</t>
        </is>
      </c>
      <c r="B13" s="14" t="inlineStr">
        <is>
          <t>Per-property tier</t>
        </is>
      </c>
      <c r="C13" s="95" t="n">
        <v>1</v>
      </c>
      <c r="D13" s="123" t="n">
        <v>49</v>
      </c>
      <c r="E13" s="22">
        <f>C13*D13*$B$4</f>
        <v>179.9525</v>
      </c>
      <c r="F13" s="22">
        <f>E13*12</f>
        <v>2159.43</v>
      </c>
      <c r="G13" s="21" t="inlineStr">
        <is>
          <t>Auto-responds to routine guest questions 24/7. Directly supports the 24/7 support promise in the Business Profile.</t>
        </is>
      </c>
    </row>
    <row r="14" ht="24" customHeight="1">
      <c r="A14" s="14" t="inlineStr">
        <is>
          <t>AI transcription / meeting notes</t>
        </is>
      </c>
      <c r="B14" s="14" t="inlineStr">
        <is>
          <t>Standard</t>
        </is>
      </c>
      <c r="C14" s="95" t="n">
        <v>1</v>
      </c>
      <c r="D14" s="123" t="n">
        <v>18</v>
      </c>
      <c r="E14" s="22">
        <f>C14*D14*$B$4</f>
        <v>66.105</v>
      </c>
      <c r="F14" s="22">
        <f>E14*12</f>
        <v>793.26</v>
      </c>
      <c r="G14" s="21" t="inlineStr">
        <is>
          <t>Owner calls and site visits captured without manual note-taking.</t>
        </is>
      </c>
    </row>
    <row r="15" ht="24" customHeight="1">
      <c r="A15" s="14" t="inlineStr">
        <is>
          <t>Buffer / social scheduling with AI</t>
        </is>
      </c>
      <c r="B15" s="14" t="inlineStr">
        <is>
          <t>Team</t>
        </is>
      </c>
      <c r="C15" s="95" t="n">
        <v>1</v>
      </c>
      <c r="D15" s="123" t="n">
        <v>12</v>
      </c>
      <c r="E15" s="22">
        <f>C15*D15*$B$4</f>
        <v>44.07</v>
      </c>
      <c r="F15" s="22">
        <f>E15*12</f>
        <v>528.84</v>
      </c>
      <c r="G15" s="21" t="inlineStr">
        <is>
          <t>Schedules the marketing team's output across channels.</t>
        </is>
      </c>
    </row>
    <row r="16" ht="20" customHeight="1">
      <c r="A16" s="18" t="inlineStr">
        <is>
          <t>TOTAL — AI SUBSCRIPTIONS</t>
        </is>
      </c>
      <c r="B16" s="5" t="n"/>
      <c r="C16" s="5" t="n"/>
      <c r="D16" s="5" t="n"/>
      <c r="E16" s="19">
        <f>SUM(E7:E15)</f>
        <v>1318.4275</v>
      </c>
      <c r="F16" s="19">
        <f>SUM(F7:F15)</f>
        <v>15821.130000000001</v>
      </c>
      <c r="G16" s="5" t="n"/>
    </row>
    <row r="18" ht="40" customHeight="1">
      <c r="A18" s="102" t="inlineStr">
        <is>
          <t>This is the Base case. In the OPEX model, the Low case assumes a trimmed stack (Claude Max + one assistant seat only) and the High case assumes the full stack plus additional seats as the marketing team scales. Edit seats and prices above and the Base figure flows straight through.</t>
        </is>
      </c>
    </row>
  </sheetData>
  <mergeCells count="3">
    <mergeCell ref="A2:G2"/>
    <mergeCell ref="A1:G1"/>
    <mergeCell ref="A18:G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2026-08-07T07:41:21Z</dcterms:created>
  <dcterms:modified xmlns:dcterms="http://purl.org/dc/terms/" xmlns:xsi="http://www.w3.org/2001/XMLSchema-instance" xsi:type="dcterms:W3CDTF">2026-08-07T07:41:21Z</dcterms:modified>
</cp:coreProperties>
</file>